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aadhiyah Mayanja\Documents\"/>
    </mc:Choice>
  </mc:AlternateContent>
  <xr:revisionPtr revIDLastSave="0" documentId="13_ncr:1_{5D3AAA0F-E9BC-4A20-AE42-0446064783E8}" xr6:coauthVersionLast="47" xr6:coauthVersionMax="47" xr10:uidLastSave="{00000000-0000-0000-0000-000000000000}"/>
  <bookViews>
    <workbookView xWindow="-120" yWindow="-120" windowWidth="20730" windowHeight="11160" activeTab="2" xr2:uid="{96F1BCC3-EB13-42C4-99B2-987D110317DC}"/>
  </bookViews>
  <sheets>
    <sheet name="Raw" sheetId="1" r:id="rId1"/>
    <sheet name="Clean" sheetId="2" r:id="rId2"/>
    <sheet name="Dashboard" sheetId="3" r:id="rId3"/>
  </sheets>
  <definedNames>
    <definedName name="_xlchart.v2.0" hidden="1">Clean!$E$36:$E$39</definedName>
    <definedName name="_xlchart.v2.1" hidden="1">Clean!$F$35</definedName>
    <definedName name="_xlchart.v2.2" hidden="1">Clean!$F$36:$F$39</definedName>
    <definedName name="_xlchart.v2.3" hidden="1">Clean!$E$36:$E$39</definedName>
    <definedName name="_xlchart.v2.4" hidden="1">Clean!$F$35</definedName>
    <definedName name="_xlchart.v2.5" hidden="1">Clean!$F$36:$F$39</definedName>
    <definedName name="Slicer___Discount">#N/A</definedName>
    <definedName name="Slicer_Category">#N/A</definedName>
    <definedName name="Slicer_Page_No.">#N/A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9" i="2" l="1"/>
  <c r="F29" i="2"/>
  <c r="F38" i="2"/>
  <c r="F37" i="2"/>
  <c r="F36" i="2"/>
  <c r="A39" i="2"/>
  <c r="A38" i="2"/>
  <c r="A37" i="2"/>
  <c r="A36" i="2"/>
  <c r="M23" i="2"/>
  <c r="N12" i="2"/>
  <c r="C39" i="2" s="1"/>
  <c r="N9" i="2"/>
  <c r="C36" i="2" s="1"/>
  <c r="N10" i="2"/>
  <c r="C37" i="2" s="1"/>
  <c r="N11" i="2"/>
  <c r="C38" i="2" s="1"/>
  <c r="N19" i="2"/>
  <c r="N18" i="2"/>
  <c r="N17" i="2"/>
  <c r="N16" i="2"/>
  <c r="N5" i="2"/>
  <c r="B39" i="2" s="1"/>
  <c r="N4" i="2"/>
  <c r="B38" i="2" s="1"/>
  <c r="N3" i="2"/>
  <c r="B37" i="2" s="1"/>
  <c r="N2" i="2"/>
  <c r="B36" i="2" s="1"/>
</calcChain>
</file>

<file path=xl/sharedStrings.xml><?xml version="1.0" encoding="utf-8"?>
<sst xmlns="http://schemas.openxmlformats.org/spreadsheetml/2006/main" count="169" uniqueCount="74">
  <si>
    <t>AVON</t>
  </si>
  <si>
    <t>AVON JUSTIN (Pty)Ltd.</t>
  </si>
  <si>
    <t>PO BOX 391120</t>
  </si>
  <si>
    <t>BRAMLEY</t>
  </si>
  <si>
    <t>JOHANNESBURG</t>
  </si>
  <si>
    <t>Personal Details</t>
  </si>
  <si>
    <t>VAT NO: 4123456789</t>
  </si>
  <si>
    <t>Tax Invoice</t>
  </si>
  <si>
    <t>Account Details</t>
  </si>
  <si>
    <r>
      <rPr>
        <b/>
        <sz val="12"/>
        <color theme="1"/>
        <rFont val="Gill Sans MT"/>
        <family val="2"/>
      </rPr>
      <t>Name:</t>
    </r>
    <r>
      <rPr>
        <sz val="12"/>
        <color theme="1"/>
        <rFont val="Gill Sans MT"/>
        <family val="2"/>
      </rPr>
      <t xml:space="preserve"> Jane Doe</t>
    </r>
  </si>
  <si>
    <r>
      <rPr>
        <b/>
        <sz val="12"/>
        <color theme="1"/>
        <rFont val="Gill Sans MT"/>
        <family val="2"/>
      </rPr>
      <t>Acocount No:</t>
    </r>
    <r>
      <rPr>
        <sz val="12"/>
        <color theme="1"/>
        <rFont val="Gill Sans MT"/>
        <family val="2"/>
      </rPr>
      <t xml:space="preserve"> ACC-001</t>
    </r>
  </si>
  <si>
    <r>
      <rPr>
        <b/>
        <sz val="12"/>
        <color theme="1"/>
        <rFont val="Gill Sans MT"/>
        <family val="2"/>
      </rPr>
      <t>Address:</t>
    </r>
    <r>
      <rPr>
        <sz val="12"/>
        <color theme="1"/>
        <rFont val="Gill Sans MT"/>
        <family val="2"/>
      </rPr>
      <t xml:space="preserve"> 123 Fake Street, Johannesburg, 2000</t>
    </r>
  </si>
  <si>
    <r>
      <rPr>
        <b/>
        <sz val="12"/>
        <color theme="1"/>
        <rFont val="Gill Sans MT"/>
        <family val="2"/>
      </rPr>
      <t>Campaign:</t>
    </r>
    <r>
      <rPr>
        <sz val="12"/>
        <color theme="1"/>
        <rFont val="Gill Sans MT"/>
        <family val="2"/>
      </rPr>
      <t xml:space="preserve"> 2024 B01</t>
    </r>
  </si>
  <si>
    <r>
      <rPr>
        <b/>
        <sz val="12"/>
        <color theme="1"/>
        <rFont val="Gill Sans MT"/>
        <family val="2"/>
      </rPr>
      <t>Order No:</t>
    </r>
    <r>
      <rPr>
        <sz val="12"/>
        <color theme="1"/>
        <rFont val="Gill Sans MT"/>
        <family val="2"/>
      </rPr>
      <t xml:space="preserve"> WWW99999999</t>
    </r>
  </si>
  <si>
    <r>
      <rPr>
        <b/>
        <sz val="12"/>
        <color theme="1"/>
        <rFont val="Gill Sans MT"/>
        <family val="2"/>
      </rPr>
      <t>Credit Limit:</t>
    </r>
    <r>
      <rPr>
        <sz val="12"/>
        <color theme="1"/>
        <rFont val="Gill Sans MT"/>
        <family val="2"/>
      </rPr>
      <t xml:space="preserve"> 0.10</t>
    </r>
  </si>
  <si>
    <r>
      <rPr>
        <b/>
        <sz val="12"/>
        <color theme="1"/>
        <rFont val="Gill Sans MT"/>
        <family val="2"/>
      </rPr>
      <t>Total Spent:</t>
    </r>
    <r>
      <rPr>
        <sz val="12"/>
        <color theme="1"/>
        <rFont val="Gill Sans MT"/>
        <family val="2"/>
      </rPr>
      <t xml:space="preserve"> 0.00</t>
    </r>
  </si>
  <si>
    <r>
      <rPr>
        <b/>
        <sz val="12"/>
        <color theme="1"/>
        <rFont val="Gill Sans MT"/>
        <family val="2"/>
      </rPr>
      <t>Total Available:</t>
    </r>
    <r>
      <rPr>
        <sz val="12"/>
        <color theme="1"/>
        <rFont val="Gill Sans MT"/>
        <family val="2"/>
      </rPr>
      <t xml:space="preserve"> 0.26</t>
    </r>
  </si>
  <si>
    <r>
      <rPr>
        <b/>
        <sz val="12"/>
        <color theme="1"/>
        <rFont val="Gill Sans MT"/>
        <family val="2"/>
      </rPr>
      <t>Due Date Of Invoice:</t>
    </r>
    <r>
      <rPr>
        <sz val="12"/>
        <color theme="1"/>
        <rFont val="Gill Sans MT"/>
        <family val="2"/>
      </rPr>
      <t xml:space="preserve"> 28/08/2024</t>
    </r>
  </si>
  <si>
    <t>Item Code</t>
  </si>
  <si>
    <t>Page No.</t>
  </si>
  <si>
    <t>Category</t>
  </si>
  <si>
    <t>Description</t>
  </si>
  <si>
    <t>Brochure Amount</t>
  </si>
  <si>
    <t>Qty</t>
  </si>
  <si>
    <t>Total Brochure Amount</t>
  </si>
  <si>
    <t>% Discount</t>
  </si>
  <si>
    <t>You Earn</t>
  </si>
  <si>
    <t>Pay Avon</t>
  </si>
  <si>
    <t>Products</t>
  </si>
  <si>
    <t>Let's Talk</t>
  </si>
  <si>
    <t>Free Items</t>
  </si>
  <si>
    <t>Charges</t>
  </si>
  <si>
    <t>Admin - Order Charges</t>
  </si>
  <si>
    <t>N/A</t>
  </si>
  <si>
    <t>Aspire Man Body Spray 150ml</t>
  </si>
  <si>
    <t>Aspire Man Rest Rod 50 Za</t>
  </si>
  <si>
    <t>Sens Gnght Swethea Bb1ltmeakz</t>
  </si>
  <si>
    <t>Ac Int Gen Cher Bios 250tmeakz</t>
  </si>
  <si>
    <t>Acs Restage Asun 400m Tmeakz</t>
  </si>
  <si>
    <t>Acs Refresh F+B 3in1 150tmeakz</t>
  </si>
  <si>
    <t>Cali Buckle Bag</t>
  </si>
  <si>
    <t>Indvdl Blue Rod 50mrefresh Weu</t>
  </si>
  <si>
    <t>Imari Corset Roll On 50ml Za</t>
  </si>
  <si>
    <t>Far Away Orig Roll On 50 Weu</t>
  </si>
  <si>
    <t>Sens Simplux Shw Cr 720tmeakz</t>
  </si>
  <si>
    <t>F-Speed Max Turbo Rod 50ml Weu</t>
  </si>
  <si>
    <t>Avon Sens Pistachio Bb 100weu</t>
  </si>
  <si>
    <t>Ac Melanin Rich B-Oil 150weu</t>
  </si>
  <si>
    <t>Ac Melanin Rich B-Ltn 150weu</t>
  </si>
  <si>
    <t>Ac Melanin Rich Crm 400weu</t>
  </si>
  <si>
    <t>Sens White Lily Scrm 720 Weu</t>
  </si>
  <si>
    <t>Sens Lavender Cal Sgel 250weu</t>
  </si>
  <si>
    <t>C9 Brochure Single</t>
  </si>
  <si>
    <t>Av Rewards Quar Calender Book</t>
  </si>
  <si>
    <t>C9 Avon Focus</t>
  </si>
  <si>
    <t>C7 Update Your Details Flyers</t>
  </si>
  <si>
    <t>C8 Excess Flyer</t>
  </si>
  <si>
    <t>Grand Total:</t>
  </si>
  <si>
    <t>Total of Products</t>
  </si>
  <si>
    <t>Total of Free Items</t>
  </si>
  <si>
    <t>Total of Let's Talk</t>
  </si>
  <si>
    <t>Total of Charges</t>
  </si>
  <si>
    <t>Total Of How Much You Earn</t>
  </si>
  <si>
    <t>MADE BY RAADHIYAH MAYANJA</t>
  </si>
  <si>
    <t>Total Brochure Amount Per Catergory</t>
  </si>
  <si>
    <t>Average Total:</t>
  </si>
  <si>
    <t>Return Rate%</t>
  </si>
  <si>
    <t>Total Of How Much You Pay Avon</t>
  </si>
  <si>
    <t xml:space="preserve">Total To Pay Avon </t>
  </si>
  <si>
    <t>Volume Concentration Mapping</t>
  </si>
  <si>
    <t>Total Quantity</t>
  </si>
  <si>
    <t>Unavailable</t>
  </si>
  <si>
    <t>Retail vs Wholesale</t>
  </si>
  <si>
    <t>AVON AUGUST BUDGET TRACKER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</si>
</sst>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quot;* #,##0.00_-;\-&quot;R&quot;* #,##0.00_-;_-&quot;R&quot;* &quot;-&quot;??_-;_-@_-"/>
    <numFmt numFmtId="164" formatCode="_-[$R-1C09]* #,##0.00_-;\-[$R-1C09]* #,##0.00_-;_-[$R-1C09]* &quot;-&quot;??_-;_-@_-"/>
  </numFmts>
  <fonts count="10" x14ac:knownFonts="1">
    <font>
      <sz val="12"/>
      <color theme="1"/>
      <name val="Calibri"/>
      <family val="2"/>
      <scheme val="minor"/>
    </font>
    <font>
      <sz val="12"/>
      <color theme="1"/>
      <name val="Calibri"/>
      <family val="2"/>
      <scheme val="minor"/>
    </font>
    <font>
      <sz val="72"/>
      <color theme="1"/>
      <name val="Gill Sans Ultra Bold"/>
      <family val="2"/>
    </font>
    <font>
      <sz val="72"/>
      <color theme="1"/>
      <name val="Calibri"/>
      <family val="2"/>
      <scheme val="minor"/>
    </font>
    <font>
      <sz val="12"/>
      <color theme="1"/>
      <name val="Gill Sans MT"/>
      <family val="2"/>
    </font>
    <font>
      <b/>
      <sz val="12"/>
      <color theme="1"/>
      <name val="Gill Sans MT"/>
      <family val="2"/>
    </font>
    <font>
      <b/>
      <sz val="12"/>
      <color theme="1"/>
      <name val="Calibri"/>
      <family val="2"/>
      <scheme val="minor"/>
    </font>
    <font>
      <sz val="26"/>
      <color theme="8" tint="-0.249977111117893"/>
      <name val="Gill Sans Ultra Bold"/>
      <family val="2"/>
    </font>
    <font>
      <sz val="8"/>
      <color theme="8" tint="-0.249977111117893"/>
      <name val="Gill Sans Ultra Bold"/>
      <family val="2"/>
    </font>
    <font>
      <sz val="18"/>
      <color theme="1"/>
      <name val="Gill Sans MT"/>
      <family val="2"/>
    </font>
  </fonts>
  <fills count="7">
    <fill>
      <patternFill patternType="none"/>
    </fill>
    <fill>
      <patternFill patternType="gray125"/>
    </fill>
    <fill>
      <patternFill patternType="solid">
        <fgColor theme="4" tint="0.39997558519241921"/>
        <bgColor indexed="64"/>
      </patternFill>
    </fill>
    <fill>
      <patternFill patternType="solid">
        <fgColor theme="8" tint="-0.249977111117893"/>
        <bgColor indexed="64"/>
      </patternFill>
    </fill>
    <fill>
      <patternFill patternType="solid">
        <fgColor theme="0"/>
        <bgColor indexed="64"/>
      </patternFill>
    </fill>
    <fill>
      <patternFill patternType="solid">
        <fgColor theme="4" tint="0.59999389629810485"/>
        <bgColor indexed="64"/>
      </patternFill>
    </fill>
    <fill>
      <patternFill patternType="solid">
        <fgColor theme="5" tint="0.39997558519241921"/>
        <bgColor indexed="64"/>
      </patternFill>
    </fill>
  </fills>
  <borders count="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34">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9" fontId="0" fillId="0" borderId="0" xfId="0" applyNumberFormat="1"/>
    <xf numFmtId="164" fontId="0" fillId="0" borderId="0" xfId="0" applyNumberFormat="1"/>
    <xf numFmtId="44" fontId="0" fillId="0" borderId="0" xfId="1" applyFont="1"/>
    <xf numFmtId="0" fontId="6" fillId="3" borderId="1" xfId="0" applyFont="1" applyFill="1" applyBorder="1"/>
    <xf numFmtId="164" fontId="0" fillId="3" borderId="2" xfId="0" applyNumberFormat="1" applyFill="1" applyBorder="1"/>
    <xf numFmtId="0" fontId="6" fillId="3" borderId="3" xfId="0" applyFont="1" applyFill="1" applyBorder="1"/>
    <xf numFmtId="164" fontId="0" fillId="3" borderId="4" xfId="0" applyNumberFormat="1" applyFill="1" applyBorder="1"/>
    <xf numFmtId="0" fontId="6" fillId="3" borderId="5" xfId="0" applyFont="1" applyFill="1" applyBorder="1"/>
    <xf numFmtId="164" fontId="0" fillId="3" borderId="6" xfId="0" applyNumberFormat="1" applyFill="1" applyBorder="1"/>
    <xf numFmtId="0" fontId="0" fillId="2" borderId="0" xfId="0" applyFill="1"/>
    <xf numFmtId="44" fontId="0" fillId="2" borderId="0" xfId="1" applyFont="1" applyFill="1"/>
    <xf numFmtId="0" fontId="0" fillId="4" borderId="0" xfId="0" applyFill="1"/>
    <xf numFmtId="0" fontId="7" fillId="4" borderId="0" xfId="0" applyFont="1" applyFill="1"/>
    <xf numFmtId="0" fontId="8" fillId="0" borderId="0" xfId="0" applyFont="1"/>
    <xf numFmtId="0" fontId="0" fillId="5" borderId="0" xfId="0" applyFill="1"/>
    <xf numFmtId="44" fontId="0" fillId="5" borderId="0" xfId="1" applyFont="1" applyFill="1"/>
    <xf numFmtId="9" fontId="0" fillId="0" borderId="0" xfId="2" applyFont="1"/>
    <xf numFmtId="0" fontId="6" fillId="6" borderId="7" xfId="0" applyFont="1" applyFill="1" applyBorder="1"/>
    <xf numFmtId="9" fontId="0" fillId="6" borderId="8" xfId="2" applyFont="1" applyFill="1" applyBorder="1"/>
    <xf numFmtId="0" fontId="9" fillId="0" borderId="0" xfId="0" applyFont="1" applyAlignment="1"/>
    <xf numFmtId="0" fontId="0" fillId="0" borderId="0" xfId="0" applyNumberFormat="1"/>
    <xf numFmtId="0" fontId="4" fillId="0" borderId="0" xfId="1" applyNumberFormat="1" applyFont="1"/>
    <xf numFmtId="0" fontId="0" fillId="0" borderId="0" xfId="1" applyNumberFormat="1" applyFont="1"/>
    <xf numFmtId="0" fontId="9" fillId="0" borderId="0" xfId="0" applyNumberFormat="1" applyFont="1"/>
    <xf numFmtId="9" fontId="0" fillId="2" borderId="0" xfId="2" applyFont="1" applyFill="1"/>
    <xf numFmtId="9" fontId="0" fillId="5" borderId="0" xfId="2" applyFont="1" applyFill="1"/>
    <xf numFmtId="1" fontId="0" fillId="0" borderId="0" xfId="0" applyNumberFormat="1"/>
    <xf numFmtId="1" fontId="0" fillId="2" borderId="0" xfId="0" applyNumberFormat="1" applyFill="1"/>
    <xf numFmtId="1" fontId="0" fillId="5" borderId="0" xfId="0" applyNumberFormat="1" applyFill="1"/>
  </cellXfs>
  <cellStyles count="3">
    <cellStyle name="Currency" xfId="1" builtinId="4"/>
    <cellStyle name="Normal" xfId="0" builtinId="0"/>
    <cellStyle name="Percent" xfId="2" builtinId="5"/>
  </cellStyles>
  <dxfs count="8">
    <dxf>
      <numFmt numFmtId="0" formatCode="General"/>
    </dxf>
    <dxf>
      <numFmt numFmtId="1" formatCode="0"/>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numFmt numFmtId="164" formatCode="_-[$R-1C09]* #,##0.00_-;\-[$R-1C09]* #,##0.00_-;_-[$R-1C09]* &quot;-&quot;??_-;_-@_-"/>
    </dxf>
    <dxf>
      <numFmt numFmtId="164" formatCode="_-[$R-1C09]* #,##0.00_-;\-[$R-1C09]* #,##0.00_-;_-[$R-1C09]* &quot;-&quot;??_-;_-@_-"/>
    </dxf>
    <dxf>
      <font>
        <b val="0"/>
        <i val="0"/>
        <strike val="0"/>
        <condense val="0"/>
        <extend val="0"/>
        <outline val="0"/>
        <shadow val="0"/>
        <u val="none"/>
        <vertAlign val="baseline"/>
        <sz val="12"/>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ZA"/>
              <a:t>Expense Distribution</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doughnutChart>
        <c:varyColors val="1"/>
        <c:ser>
          <c:idx val="0"/>
          <c:order val="0"/>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E1AA-43FE-AE62-A5E1CE280546}"/>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E1AA-43FE-AE62-A5E1CE280546}"/>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E1AA-43FE-AE62-A5E1CE280546}"/>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E1AA-43FE-AE62-A5E1CE280546}"/>
              </c:ext>
            </c:extLst>
          </c:dPt>
          <c:cat>
            <c:strRef>
              <c:f>Clean!$M$9:$M$12</c:f>
              <c:strCache>
                <c:ptCount val="4"/>
                <c:pt idx="0">
                  <c:v>Total of Products</c:v>
                </c:pt>
                <c:pt idx="1">
                  <c:v>Total of Let's Talk</c:v>
                </c:pt>
                <c:pt idx="2">
                  <c:v>Total of Free Items</c:v>
                </c:pt>
                <c:pt idx="3">
                  <c:v>Total of Charges</c:v>
                </c:pt>
              </c:strCache>
            </c:strRef>
          </c:cat>
          <c:val>
            <c:numRef>
              <c:f>Clean!$N$9:$N$12</c:f>
              <c:numCache>
                <c:formatCode>_-[$R-1C09]* #,##0.00_-;\-[$R-1C09]* #,##0.00_-;_-[$R-1C09]* "-"??_-;_-@_-</c:formatCode>
                <c:ptCount val="4"/>
                <c:pt idx="0">
                  <c:v>994.85</c:v>
                </c:pt>
                <c:pt idx="1">
                  <c:v>310.89999999999998</c:v>
                </c:pt>
                <c:pt idx="2">
                  <c:v>0</c:v>
                </c:pt>
                <c:pt idx="3">
                  <c:v>15.5</c:v>
                </c:pt>
              </c:numCache>
            </c:numRef>
          </c:val>
          <c:extLst>
            <c:ext xmlns:c16="http://schemas.microsoft.com/office/drawing/2014/chart" uri="{C3380CC4-5D6E-409C-BE32-E72D297353CC}">
              <c16:uniqueId val="{00000008-E1AA-43FE-AE62-A5E1CE280546}"/>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ZA"/>
              <a:t>Net Earning Breakdown</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extLst>
                <c:ext xmlns:c15="http://schemas.microsoft.com/office/drawing/2012/chart" uri="{02D57815-91ED-43cb-92C2-25804820EDAC}">
                  <c15:fullRef>
                    <c15:sqref>Clean!$M$16:$M$19</c15:sqref>
                  </c15:fullRef>
                </c:ext>
              </c:extLst>
              <c:f>Clean!$M$16</c:f>
              <c:strCache>
                <c:ptCount val="1"/>
                <c:pt idx="0">
                  <c:v>Total of Products</c:v>
                </c:pt>
              </c:strCache>
            </c:strRef>
          </c:cat>
          <c:val>
            <c:numRef>
              <c:extLst>
                <c:ext xmlns:c15="http://schemas.microsoft.com/office/drawing/2012/chart" uri="{02D57815-91ED-43cb-92C2-25804820EDAC}">
                  <c15:fullRef>
                    <c15:sqref>Clean!$N$16:$N$19</c15:sqref>
                  </c15:fullRef>
                </c:ext>
              </c:extLst>
              <c:f>Clean!$N$16</c:f>
              <c:numCache>
                <c:formatCode>_-[$R-1C09]* #,##0.00_-;\-[$R-1C09]* #,##0.00_-;_-[$R-1C09]* "-"??_-;_-@_-</c:formatCode>
                <c:ptCount val="1"/>
                <c:pt idx="0">
                  <c:v>233.15</c:v>
                </c:pt>
              </c:numCache>
            </c:numRef>
          </c:val>
          <c:extLst>
            <c:ext xmlns:c16="http://schemas.microsoft.com/office/drawing/2014/chart" uri="{C3380CC4-5D6E-409C-BE32-E72D297353CC}">
              <c16:uniqueId val="{00000000-D2B9-4247-A305-08020E1751B6}"/>
            </c:ext>
          </c:extLst>
        </c:ser>
        <c:dLbls>
          <c:showLegendKey val="0"/>
          <c:showVal val="0"/>
          <c:showCatName val="0"/>
          <c:showSerName val="0"/>
          <c:showPercent val="0"/>
          <c:showBubbleSize val="0"/>
        </c:dLbls>
        <c:gapWidth val="164"/>
        <c:overlap val="-22"/>
        <c:axId val="905207983"/>
        <c:axId val="905216143"/>
      </c:barChart>
      <c:catAx>
        <c:axId val="90520798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216143"/>
        <c:crosses val="autoZero"/>
        <c:auto val="1"/>
        <c:lblAlgn val="ctr"/>
        <c:lblOffset val="100"/>
        <c:noMultiLvlLbl val="0"/>
      </c:catAx>
      <c:valAx>
        <c:axId val="905216143"/>
        <c:scaling>
          <c:orientation val="minMax"/>
        </c:scaling>
        <c:delete val="0"/>
        <c:axPos val="l"/>
        <c:numFmt formatCode="_-[$R-1C09]* #,##0.00_-;\-[$R-1C09]* #,##0.00_-;_-[$R-1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2079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ZA"/>
              <a:t>Retail vs Wholesale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ZA"/>
        </a:p>
      </c:txPr>
    </c:title>
    <c:autoTitleDeleted val="0"/>
    <c:plotArea>
      <c:layout/>
      <c:barChart>
        <c:barDir val="col"/>
        <c:grouping val="clustered"/>
        <c:varyColors val="0"/>
        <c:ser>
          <c:idx val="0"/>
          <c:order val="0"/>
          <c:tx>
            <c:strRef>
              <c:f>Clean!$B$35</c:f>
              <c:strCache>
                <c:ptCount val="1"/>
                <c:pt idx="0">
                  <c:v>Total Brochure Amount</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Clean!$A$36:$A$39</c:f>
              <c:strCache>
                <c:ptCount val="4"/>
                <c:pt idx="0">
                  <c:v>Products</c:v>
                </c:pt>
                <c:pt idx="1">
                  <c:v>Let's Talk</c:v>
                </c:pt>
                <c:pt idx="2">
                  <c:v>Free Items</c:v>
                </c:pt>
                <c:pt idx="3">
                  <c:v>Charges</c:v>
                </c:pt>
              </c:strCache>
            </c:strRef>
          </c:cat>
          <c:val>
            <c:numRef>
              <c:f>Clean!$B$36:$B$39</c:f>
              <c:numCache>
                <c:formatCode>_-[$R-1C09]* #,##0.00_-;\-[$R-1C09]* #,##0.00_-;_-[$R-1C09]* "-"??_-;_-@_-</c:formatCode>
                <c:ptCount val="4"/>
                <c:pt idx="0">
                  <c:v>1228</c:v>
                </c:pt>
                <c:pt idx="1">
                  <c:v>310.89999999999998</c:v>
                </c:pt>
                <c:pt idx="2">
                  <c:v>0</c:v>
                </c:pt>
                <c:pt idx="3">
                  <c:v>15.5</c:v>
                </c:pt>
              </c:numCache>
            </c:numRef>
          </c:val>
          <c:extLst>
            <c:ext xmlns:c16="http://schemas.microsoft.com/office/drawing/2014/chart" uri="{C3380CC4-5D6E-409C-BE32-E72D297353CC}">
              <c16:uniqueId val="{00000000-13C1-4EF7-9971-B9E221A95F65}"/>
            </c:ext>
          </c:extLst>
        </c:ser>
        <c:ser>
          <c:idx val="1"/>
          <c:order val="1"/>
          <c:tx>
            <c:strRef>
              <c:f>Clean!$C$35</c:f>
              <c:strCache>
                <c:ptCount val="1"/>
                <c:pt idx="0">
                  <c:v>Total To Pay Avon </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Clean!$A$36:$A$39</c:f>
              <c:strCache>
                <c:ptCount val="4"/>
                <c:pt idx="0">
                  <c:v>Products</c:v>
                </c:pt>
                <c:pt idx="1">
                  <c:v>Let's Talk</c:v>
                </c:pt>
                <c:pt idx="2">
                  <c:v>Free Items</c:v>
                </c:pt>
                <c:pt idx="3">
                  <c:v>Charges</c:v>
                </c:pt>
              </c:strCache>
            </c:strRef>
          </c:cat>
          <c:val>
            <c:numRef>
              <c:f>Clean!$C$36:$C$39</c:f>
              <c:numCache>
                <c:formatCode>_-[$R-1C09]* #,##0.00_-;\-[$R-1C09]* #,##0.00_-;_-[$R-1C09]* "-"??_-;_-@_-</c:formatCode>
                <c:ptCount val="4"/>
                <c:pt idx="0">
                  <c:v>994.85</c:v>
                </c:pt>
                <c:pt idx="1">
                  <c:v>310.89999999999998</c:v>
                </c:pt>
                <c:pt idx="2">
                  <c:v>0</c:v>
                </c:pt>
                <c:pt idx="3">
                  <c:v>15.5</c:v>
                </c:pt>
              </c:numCache>
            </c:numRef>
          </c:val>
          <c:extLst>
            <c:ext xmlns:c16="http://schemas.microsoft.com/office/drawing/2014/chart" uri="{C3380CC4-5D6E-409C-BE32-E72D297353CC}">
              <c16:uniqueId val="{00000001-13C1-4EF7-9971-B9E221A95F65}"/>
            </c:ext>
          </c:extLst>
        </c:ser>
        <c:dLbls>
          <c:showLegendKey val="0"/>
          <c:showVal val="0"/>
          <c:showCatName val="0"/>
          <c:showSerName val="0"/>
          <c:showPercent val="0"/>
          <c:showBubbleSize val="0"/>
        </c:dLbls>
        <c:gapWidth val="164"/>
        <c:overlap val="-22"/>
        <c:axId val="985203183"/>
        <c:axId val="985203663"/>
      </c:barChart>
      <c:catAx>
        <c:axId val="98520318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203663"/>
        <c:crosses val="autoZero"/>
        <c:auto val="1"/>
        <c:lblAlgn val="ctr"/>
        <c:lblOffset val="100"/>
        <c:noMultiLvlLbl val="0"/>
      </c:catAx>
      <c:valAx>
        <c:axId val="985203663"/>
        <c:scaling>
          <c:orientation val="minMax"/>
        </c:scaling>
        <c:delete val="0"/>
        <c:axPos val="l"/>
        <c:numFmt formatCode="_-[$R-1C09]* #,##0.00_-;\-[$R-1C09]* #,##0.00_-;_-[$R-1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2031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Qty Breakdown By Category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Qty Breakdown By Category</a:t>
          </a:r>
        </a:p>
      </cx:txPr>
    </cx:title>
    <cx:plotArea>
      <cx:plotAreaRegion>
        <cx:series layoutId="funnel" uniqueId="{2673AA7C-54D2-4185-8EF7-23E3C8367314}">
          <cx:tx>
            <cx:txData>
              <cx:f>_xlchart.v2.4</cx:f>
              <cx:v>Total Quantity</cx:v>
            </cx:txData>
          </cx:tx>
          <cx:dataLabels>
            <cx:visibility seriesName="0" categoryName="0" value="1"/>
          </cx:dataLabels>
          <cx:dataId val="0"/>
        </cx:series>
      </cx:plotAreaRegion>
      <cx:axis id="0">
        <cx:catScaling gapWidth="0.5"/>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25">
  <cs:axisTitle>
    <cs:lnRef idx="0"/>
    <cs:fillRef idx="0"/>
    <cs:effectRef idx="0"/>
    <cs:fontRef idx="minor">
      <a:schemeClr val="tx1">
        <a:lumMod val="50000"/>
        <a:lumOff val="50000"/>
      </a:schemeClr>
    </cs:fontRef>
    <cs:defRPr sz="900"/>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50000"/>
        <a:lumOff val="50000"/>
      </a:schemeClr>
    </cs:fontRef>
    <cs:defRPr sz="900"/>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ln w="9525" cap="flat" cmpd="sng" algn="ctr">
        <a:solidFill>
          <a:schemeClr val="phClr">
            <a:alpha val="50000"/>
          </a:schemeClr>
        </a:solidFill>
        <a:round/>
      </a:ln>
    </cs:spPr>
  </cs:dataPoint>
  <cs:dataPoint3D>
    <cs:lnRef idx="0">
      <cs:styleClr val="auto"/>
    </cs:lnRef>
    <cs:fillRef idx="0">
      <cs:styleClr val="auto"/>
    </cs:fillRef>
    <cs:effectRef idx="0"/>
    <cs:fontRef idx="minor">
      <a:schemeClr val="dk1"/>
    </cs:fontRef>
    <cs:spPr>
      <a:solidFill>
        <a:schemeClr val="phClr"/>
      </a:solidFill>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4"/>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400" cap="none" spc="2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10</xdr:col>
      <xdr:colOff>62948</xdr:colOff>
      <xdr:row>0</xdr:row>
      <xdr:rowOff>195881</xdr:rowOff>
    </xdr:from>
    <xdr:to>
      <xdr:col>13</xdr:col>
      <xdr:colOff>101048</xdr:colOff>
      <xdr:row>2</xdr:row>
      <xdr:rowOff>122580</xdr:rowOff>
    </xdr:to>
    <xdr:sp macro="" textlink="">
      <xdr:nvSpPr>
        <xdr:cNvPr id="2" name="TextBox 1">
          <a:extLst>
            <a:ext uri="{FF2B5EF4-FFF2-40B4-BE49-F238E27FC236}">
              <a16:creationId xmlns:a16="http://schemas.microsoft.com/office/drawing/2014/main" id="{3B73A835-DD63-9A29-7416-64F5C5287169}"/>
            </a:ext>
          </a:extLst>
        </xdr:cNvPr>
        <xdr:cNvSpPr txBox="1"/>
      </xdr:nvSpPr>
      <xdr:spPr>
        <a:xfrm>
          <a:off x="7134225" y="195881"/>
          <a:ext cx="2088046" cy="630721"/>
        </a:xfrm>
        <a:prstGeom prst="rect">
          <a:avLst/>
        </a:prstGeom>
        <a:solidFill>
          <a:schemeClr val="lt1"/>
        </a:solidFill>
        <a:ln w="9525" cmpd="sng">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050">
              <a:solidFill>
                <a:schemeClr val="accent4">
                  <a:lumMod val="75000"/>
                </a:schemeClr>
              </a:solidFill>
              <a:latin typeface="Gill Sans MT" panose="020B0502020104020203" pitchFamily="34" charset="0"/>
            </a:rPr>
            <a:t>TOTAL WHOLE SALES PAYABLE</a:t>
          </a:r>
        </a:p>
        <a:p>
          <a:pPr algn="ctr"/>
          <a:r>
            <a:rPr lang="en-ZA" sz="1100" b="0" i="0" u="none" strike="noStrike">
              <a:solidFill>
                <a:schemeClr val="accent4">
                  <a:lumMod val="75000"/>
                </a:schemeClr>
              </a:solidFill>
              <a:effectLst/>
              <a:latin typeface="+mn-lt"/>
              <a:ea typeface="+mn-ea"/>
              <a:cs typeface="+mn-cs"/>
            </a:rPr>
            <a:t> </a:t>
          </a:r>
          <a:r>
            <a:rPr lang="en-ZA" sz="1800" b="0" i="0" u="none" strike="noStrike">
              <a:solidFill>
                <a:schemeClr val="accent4">
                  <a:lumMod val="75000"/>
                </a:schemeClr>
              </a:solidFill>
              <a:effectLst/>
              <a:latin typeface="+mn-lt"/>
              <a:ea typeface="+mn-ea"/>
              <a:cs typeface="+mn-cs"/>
            </a:rPr>
            <a:t>R1 321.25 </a:t>
          </a:r>
          <a:endParaRPr lang="en-ZA" sz="1100">
            <a:solidFill>
              <a:schemeClr val="accent4">
                <a:lumMod val="75000"/>
              </a:schemeClr>
            </a:solidFill>
          </a:endParaRPr>
        </a:p>
      </xdr:txBody>
    </xdr:sp>
    <xdr:clientData/>
  </xdr:twoCellAnchor>
  <xdr:twoCellAnchor>
    <xdr:from>
      <xdr:col>13</xdr:col>
      <xdr:colOff>278292</xdr:colOff>
      <xdr:row>0</xdr:row>
      <xdr:rowOff>206232</xdr:rowOff>
    </xdr:from>
    <xdr:to>
      <xdr:col>15</xdr:col>
      <xdr:colOff>183043</xdr:colOff>
      <xdr:row>2</xdr:row>
      <xdr:rowOff>132931</xdr:rowOff>
    </xdr:to>
    <xdr:sp macro="" textlink="">
      <xdr:nvSpPr>
        <xdr:cNvPr id="3" name="TextBox 2">
          <a:extLst>
            <a:ext uri="{FF2B5EF4-FFF2-40B4-BE49-F238E27FC236}">
              <a16:creationId xmlns:a16="http://schemas.microsoft.com/office/drawing/2014/main" id="{D98C79ED-3DA2-4245-B0D0-211BF5312345}"/>
            </a:ext>
          </a:extLst>
        </xdr:cNvPr>
        <xdr:cNvSpPr txBox="1"/>
      </xdr:nvSpPr>
      <xdr:spPr>
        <a:xfrm>
          <a:off x="9399515" y="206232"/>
          <a:ext cx="1271381" cy="630721"/>
        </a:xfrm>
        <a:prstGeom prst="rect">
          <a:avLst/>
        </a:prstGeom>
        <a:solidFill>
          <a:schemeClr val="lt1"/>
        </a:solidFill>
        <a:ln w="9525" cmpd="sng">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050">
              <a:solidFill>
                <a:schemeClr val="accent4">
                  <a:lumMod val="75000"/>
                </a:schemeClr>
              </a:solidFill>
              <a:latin typeface="Gill Sans MT" panose="020B0502020104020203" pitchFamily="34" charset="0"/>
            </a:rPr>
            <a:t>NET</a:t>
          </a:r>
          <a:r>
            <a:rPr lang="en-ZA" sz="1050" baseline="0">
              <a:solidFill>
                <a:schemeClr val="accent4">
                  <a:lumMod val="75000"/>
                </a:schemeClr>
              </a:solidFill>
              <a:latin typeface="Gill Sans MT" panose="020B0502020104020203" pitchFamily="34" charset="0"/>
            </a:rPr>
            <a:t> EARNINGS</a:t>
          </a:r>
        </a:p>
        <a:p>
          <a:pPr algn="ctr"/>
          <a:r>
            <a:rPr lang="en-ZA" sz="1100" b="0" i="0" u="none" strike="noStrike">
              <a:solidFill>
                <a:schemeClr val="accent4">
                  <a:lumMod val="75000"/>
                </a:schemeClr>
              </a:solidFill>
              <a:effectLst/>
              <a:latin typeface="+mn-lt"/>
              <a:ea typeface="+mn-ea"/>
              <a:cs typeface="+mn-cs"/>
            </a:rPr>
            <a:t> </a:t>
          </a:r>
          <a:r>
            <a:rPr lang="en-ZA" sz="1800" b="0" i="0" u="none" strike="noStrike">
              <a:solidFill>
                <a:schemeClr val="accent4">
                  <a:lumMod val="75000"/>
                </a:schemeClr>
              </a:solidFill>
              <a:effectLst/>
              <a:latin typeface="+mn-lt"/>
              <a:ea typeface="+mn-ea"/>
              <a:cs typeface="+mn-cs"/>
            </a:rPr>
            <a:t>R233.15 </a:t>
          </a:r>
          <a:endParaRPr lang="en-ZA" sz="1200">
            <a:solidFill>
              <a:schemeClr val="accent4">
                <a:lumMod val="75000"/>
              </a:schemeClr>
            </a:solidFill>
          </a:endParaRPr>
        </a:p>
      </xdr:txBody>
    </xdr:sp>
    <xdr:clientData/>
  </xdr:twoCellAnchor>
  <xdr:twoCellAnchor>
    <xdr:from>
      <xdr:col>15</xdr:col>
      <xdr:colOff>397147</xdr:colOff>
      <xdr:row>0</xdr:row>
      <xdr:rowOff>207063</xdr:rowOff>
    </xdr:from>
    <xdr:to>
      <xdr:col>17</xdr:col>
      <xdr:colOff>301896</xdr:colOff>
      <xdr:row>2</xdr:row>
      <xdr:rowOff>133762</xdr:rowOff>
    </xdr:to>
    <xdr:sp macro="" textlink="">
      <xdr:nvSpPr>
        <xdr:cNvPr id="4" name="TextBox 3">
          <a:extLst>
            <a:ext uri="{FF2B5EF4-FFF2-40B4-BE49-F238E27FC236}">
              <a16:creationId xmlns:a16="http://schemas.microsoft.com/office/drawing/2014/main" id="{170ECE38-AD90-4492-9038-8830263ECE8D}"/>
            </a:ext>
          </a:extLst>
        </xdr:cNvPr>
        <xdr:cNvSpPr txBox="1"/>
      </xdr:nvSpPr>
      <xdr:spPr>
        <a:xfrm>
          <a:off x="10885000" y="207063"/>
          <a:ext cx="1271380" cy="630721"/>
        </a:xfrm>
        <a:prstGeom prst="rect">
          <a:avLst/>
        </a:prstGeom>
        <a:solidFill>
          <a:schemeClr val="lt1"/>
        </a:solidFill>
        <a:ln w="9525" cmpd="sng">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050">
              <a:latin typeface="Gill Sans MT" panose="020B0502020104020203" pitchFamily="34" charset="0"/>
            </a:rPr>
            <a:t>MARGIN %</a:t>
          </a:r>
        </a:p>
        <a:p>
          <a:pPr algn="ctr"/>
          <a:r>
            <a:rPr lang="en-ZA" sz="1800">
              <a:latin typeface="Gill Sans MT" panose="020B0502020104020203" pitchFamily="34" charset="0"/>
            </a:rPr>
            <a:t>15%</a:t>
          </a:r>
        </a:p>
      </xdr:txBody>
    </xdr:sp>
    <xdr:clientData/>
  </xdr:twoCellAnchor>
  <xdr:twoCellAnchor>
    <xdr:from>
      <xdr:col>17</xdr:col>
      <xdr:colOff>423654</xdr:colOff>
      <xdr:row>0</xdr:row>
      <xdr:rowOff>195886</xdr:rowOff>
    </xdr:from>
    <xdr:to>
      <xdr:col>19</xdr:col>
      <xdr:colOff>328405</xdr:colOff>
      <xdr:row>2</xdr:row>
      <xdr:rowOff>122585</xdr:rowOff>
    </xdr:to>
    <xdr:sp macro="" textlink="">
      <xdr:nvSpPr>
        <xdr:cNvPr id="5" name="TextBox 4">
          <a:extLst>
            <a:ext uri="{FF2B5EF4-FFF2-40B4-BE49-F238E27FC236}">
              <a16:creationId xmlns:a16="http://schemas.microsoft.com/office/drawing/2014/main" id="{521FBDAF-7A1B-4294-864E-16749128D9B7}"/>
            </a:ext>
          </a:extLst>
        </xdr:cNvPr>
        <xdr:cNvSpPr txBox="1"/>
      </xdr:nvSpPr>
      <xdr:spPr>
        <a:xfrm>
          <a:off x="12278138" y="195886"/>
          <a:ext cx="1271381" cy="630721"/>
        </a:xfrm>
        <a:prstGeom prst="rect">
          <a:avLst/>
        </a:prstGeom>
        <a:solidFill>
          <a:schemeClr val="lt1"/>
        </a:solidFill>
        <a:ln w="9525" cmpd="sng">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050">
              <a:latin typeface="Gill Sans MT" panose="020B0502020104020203" pitchFamily="34" charset="0"/>
            </a:rPr>
            <a:t>TOTAL UNITS</a:t>
          </a:r>
        </a:p>
        <a:p>
          <a:pPr algn="ctr"/>
          <a:r>
            <a:rPr lang="en-ZA" sz="1800">
              <a:latin typeface="Gill Sans MT" panose="020B0502020104020203" pitchFamily="34" charset="0"/>
            </a:rPr>
            <a:t>24</a:t>
          </a:r>
        </a:p>
      </xdr:txBody>
    </xdr:sp>
    <xdr:clientData/>
  </xdr:twoCellAnchor>
  <xdr:twoCellAnchor>
    <xdr:from>
      <xdr:col>6</xdr:col>
      <xdr:colOff>207492</xdr:colOff>
      <xdr:row>2</xdr:row>
      <xdr:rowOff>180894</xdr:rowOff>
    </xdr:from>
    <xdr:to>
      <xdr:col>12</xdr:col>
      <xdr:colOff>464667</xdr:colOff>
      <xdr:row>14</xdr:row>
      <xdr:rowOff>156594</xdr:rowOff>
    </xdr:to>
    <xdr:graphicFrame macro="">
      <xdr:nvGraphicFramePr>
        <xdr:cNvPr id="7" name="Chart 1">
          <a:extLst>
            <a:ext uri="{FF2B5EF4-FFF2-40B4-BE49-F238E27FC236}">
              <a16:creationId xmlns:a16="http://schemas.microsoft.com/office/drawing/2014/main" id="{F1FE78C5-FC3B-99B3-2305-01C54437BA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529686</xdr:colOff>
      <xdr:row>2</xdr:row>
      <xdr:rowOff>161015</xdr:rowOff>
    </xdr:from>
    <xdr:to>
      <xdr:col>19</xdr:col>
      <xdr:colOff>301086</xdr:colOff>
      <xdr:row>14</xdr:row>
      <xdr:rowOff>136715</xdr:rowOff>
    </xdr:to>
    <xdr:graphicFrame macro="">
      <xdr:nvGraphicFramePr>
        <xdr:cNvPr id="8" name="Chart 2">
          <a:extLst>
            <a:ext uri="{FF2B5EF4-FFF2-40B4-BE49-F238E27FC236}">
              <a16:creationId xmlns:a16="http://schemas.microsoft.com/office/drawing/2014/main" id="{AE7491AC-5C0E-067F-B8E2-1E9228C73B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xdr:row>
      <xdr:rowOff>180972</xdr:rowOff>
    </xdr:from>
    <xdr:to>
      <xdr:col>6</xdr:col>
      <xdr:colOff>171450</xdr:colOff>
      <xdr:row>26</xdr:row>
      <xdr:rowOff>144944</xdr:rowOff>
    </xdr:to>
    <xdr:graphicFrame macro="">
      <xdr:nvGraphicFramePr>
        <xdr:cNvPr id="9" name="Chart 3">
          <a:extLst>
            <a:ext uri="{FF2B5EF4-FFF2-40B4-BE49-F238E27FC236}">
              <a16:creationId xmlns:a16="http://schemas.microsoft.com/office/drawing/2014/main" id="{303BA971-0067-2627-720C-F45CB9695B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191788</xdr:colOff>
      <xdr:row>14</xdr:row>
      <xdr:rowOff>183045</xdr:rowOff>
    </xdr:from>
    <xdr:to>
      <xdr:col>13</xdr:col>
      <xdr:colOff>341656</xdr:colOff>
      <xdr:row>26</xdr:row>
      <xdr:rowOff>126058</xdr:rowOff>
    </xdr:to>
    <mc:AlternateContent xmlns:mc="http://schemas.openxmlformats.org/markup-compatibility/2006">
      <mc:Choice xmlns:cx2="http://schemas.microsoft.com/office/drawing/2015/10/21/chartex" Requires="cx2">
        <xdr:graphicFrame macro="">
          <xdr:nvGraphicFramePr>
            <xdr:cNvPr id="10" name="Chart 4">
              <a:extLst>
                <a:ext uri="{FF2B5EF4-FFF2-40B4-BE49-F238E27FC236}">
                  <a16:creationId xmlns:a16="http://schemas.microsoft.com/office/drawing/2014/main" id="{021492CE-A832-1A03-9F4F-F7D459CF461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529804" y="3247610"/>
              <a:ext cx="4933075" cy="2303557"/>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13</xdr:col>
      <xdr:colOff>362364</xdr:colOff>
      <xdr:row>14</xdr:row>
      <xdr:rowOff>176006</xdr:rowOff>
    </xdr:from>
    <xdr:to>
      <xdr:col>15</xdr:col>
      <xdr:colOff>300245</xdr:colOff>
      <xdr:row>26</xdr:row>
      <xdr:rowOff>134592</xdr:rowOff>
    </xdr:to>
    <mc:AlternateContent xmlns:mc="http://schemas.openxmlformats.org/markup-compatibility/2006">
      <mc:Choice xmlns:sle15="http://schemas.microsoft.com/office/drawing/2012/slicer" Requires="sle15">
        <xdr:graphicFrame macro="">
          <xdr:nvGraphicFramePr>
            <xdr:cNvPr id="15" name="Page No. 1">
              <a:extLst>
                <a:ext uri="{FF2B5EF4-FFF2-40B4-BE49-F238E27FC236}">
                  <a16:creationId xmlns:a16="http://schemas.microsoft.com/office/drawing/2014/main" id="{6FA6F69C-533B-47EA-8643-67C2D5CA5F31}"/>
                </a:ext>
              </a:extLst>
            </xdr:cNvPr>
            <xdr:cNvGraphicFramePr/>
          </xdr:nvGraphicFramePr>
          <xdr:xfrm>
            <a:off x="0" y="0"/>
            <a:ext cx="0" cy="0"/>
          </xdr:xfrm>
          <a:graphic>
            <a:graphicData uri="http://schemas.microsoft.com/office/drawing/2010/slicer">
              <sle:slicer xmlns:sle="http://schemas.microsoft.com/office/drawing/2010/slicer" name="Page No. 1"/>
            </a:graphicData>
          </a:graphic>
        </xdr:graphicFrame>
      </mc:Choice>
      <mc:Fallback>
        <xdr:sp macro="" textlink="">
          <xdr:nvSpPr>
            <xdr:cNvPr id="0" name=""/>
            <xdr:cNvSpPr>
              <a:spLocks noTextEdit="1"/>
            </xdr:cNvSpPr>
          </xdr:nvSpPr>
          <xdr:spPr>
            <a:xfrm>
              <a:off x="9474614" y="3351006"/>
              <a:ext cx="1303131" cy="2435086"/>
            </a:xfrm>
            <a:prstGeom prst="rect">
              <a:avLst/>
            </a:prstGeom>
            <a:solidFill>
              <a:prstClr val="white"/>
            </a:solidFill>
            <a:ln w="1">
              <a:solidFill>
                <a:prstClr val="green"/>
              </a:solidFill>
            </a:ln>
          </xdr:spPr>
          <xdr:txBody>
            <a:bodyPr vertOverflow="clip" horzOverflow="clip"/>
            <a:lstStyle/>
            <a:p>
              <a:r>
                <a:rPr lang="en-Z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362363</xdr:colOff>
      <xdr:row>14</xdr:row>
      <xdr:rowOff>183044</xdr:rowOff>
    </xdr:from>
    <xdr:to>
      <xdr:col>17</xdr:col>
      <xdr:colOff>291732</xdr:colOff>
      <xdr:row>26</xdr:row>
      <xdr:rowOff>134591</xdr:rowOff>
    </xdr:to>
    <mc:AlternateContent xmlns:mc="http://schemas.openxmlformats.org/markup-compatibility/2006">
      <mc:Choice xmlns:sle15="http://schemas.microsoft.com/office/drawing/2012/slicer" Requires="sle15">
        <xdr:graphicFrame macro="">
          <xdr:nvGraphicFramePr>
            <xdr:cNvPr id="16" name="Category 1">
              <a:extLst>
                <a:ext uri="{FF2B5EF4-FFF2-40B4-BE49-F238E27FC236}">
                  <a16:creationId xmlns:a16="http://schemas.microsoft.com/office/drawing/2014/main" id="{2FE91A82-8CCF-4DE8-B6C8-1B2C935460C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0839863" y="3358044"/>
              <a:ext cx="1294619" cy="2428047"/>
            </a:xfrm>
            <a:prstGeom prst="rect">
              <a:avLst/>
            </a:prstGeom>
            <a:solidFill>
              <a:prstClr val="white"/>
            </a:solidFill>
            <a:ln w="1">
              <a:solidFill>
                <a:prstClr val="green"/>
              </a:solidFill>
            </a:ln>
          </xdr:spPr>
          <xdr:txBody>
            <a:bodyPr vertOverflow="clip" horzOverflow="clip"/>
            <a:lstStyle/>
            <a:p>
              <a:r>
                <a:rPr lang="en-Z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331304</xdr:colOff>
      <xdr:row>14</xdr:row>
      <xdr:rowOff>179734</xdr:rowOff>
    </xdr:from>
    <xdr:to>
      <xdr:col>19</xdr:col>
      <xdr:colOff>332674</xdr:colOff>
      <xdr:row>26</xdr:row>
      <xdr:rowOff>93180</xdr:rowOff>
    </xdr:to>
    <mc:AlternateContent xmlns:mc="http://schemas.openxmlformats.org/markup-compatibility/2006">
      <mc:Choice xmlns:sle15="http://schemas.microsoft.com/office/drawing/2012/slicer" Requires="sle15">
        <xdr:graphicFrame macro="">
          <xdr:nvGraphicFramePr>
            <xdr:cNvPr id="17" name="% Discount 1">
              <a:extLst>
                <a:ext uri="{FF2B5EF4-FFF2-40B4-BE49-F238E27FC236}">
                  <a16:creationId xmlns:a16="http://schemas.microsoft.com/office/drawing/2014/main" id="{818CE1BD-AB8F-45DC-B87E-19A490EE1F27}"/>
                </a:ext>
              </a:extLst>
            </xdr:cNvPr>
            <xdr:cNvGraphicFramePr/>
          </xdr:nvGraphicFramePr>
          <xdr:xfrm>
            <a:off x="0" y="0"/>
            <a:ext cx="0" cy="0"/>
          </xdr:xfrm>
          <a:graphic>
            <a:graphicData uri="http://schemas.microsoft.com/office/drawing/2010/slicer">
              <sle:slicer xmlns:sle="http://schemas.microsoft.com/office/drawing/2010/slicer" name="% Discount 1"/>
            </a:graphicData>
          </a:graphic>
        </xdr:graphicFrame>
      </mc:Choice>
      <mc:Fallback>
        <xdr:sp macro="" textlink="">
          <xdr:nvSpPr>
            <xdr:cNvPr id="0" name=""/>
            <xdr:cNvSpPr>
              <a:spLocks noTextEdit="1"/>
            </xdr:cNvSpPr>
          </xdr:nvSpPr>
          <xdr:spPr>
            <a:xfrm>
              <a:off x="12174054" y="3354734"/>
              <a:ext cx="1366620" cy="2389946"/>
            </a:xfrm>
            <a:prstGeom prst="rect">
              <a:avLst/>
            </a:prstGeom>
            <a:solidFill>
              <a:prstClr val="white"/>
            </a:solidFill>
            <a:ln w="1">
              <a:solidFill>
                <a:prstClr val="green"/>
              </a:solidFill>
            </a:ln>
          </xdr:spPr>
          <xdr:txBody>
            <a:bodyPr vertOverflow="clip" horzOverflow="clip"/>
            <a:lstStyle/>
            <a:p>
              <a:r>
                <a:rPr lang="en-Z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ge_No." xr10:uid="{DF5D8C4A-3008-48ED-BBED-83674C2660D0}" sourceName="Page No.">
  <extLst>
    <x:ext xmlns:x15="http://schemas.microsoft.com/office/spreadsheetml/2010/11/main" uri="{2F2917AC-EB37-4324-AD4E-5DD8C200BD13}">
      <x15:tableSlicerCache tableId="3"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1D5E902-0D69-4C7C-94CC-DB38E53A0E5D}" sourceName="Category">
  <extLst>
    <x:ext xmlns:x15="http://schemas.microsoft.com/office/spreadsheetml/2010/11/main" uri="{2F2917AC-EB37-4324-AD4E-5DD8C200BD13}">
      <x15:tableSlicerCache tableId="3"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__Discount" xr10:uid="{ABE021E4-5CEA-4DAE-A2F5-F2A9D67F455B}" sourceName="% Discount">
  <extLst>
    <x:ext xmlns:x15="http://schemas.microsoft.com/office/spreadsheetml/2010/11/main" uri="{2F2917AC-EB37-4324-AD4E-5DD8C200BD13}">
      <x15:tableSlicerCache tableId="3"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ge No. 1" xr10:uid="{41EC9D2F-92AA-44BD-B3DD-13C06D0829AA}" cache="Slicer_Page_No." caption="Page No." rowHeight="257175"/>
  <slicer name="Category 1" xr10:uid="{965608D3-4B48-43D3-8AEF-427C5FF7D517}" cache="Slicer_Category" caption="Category" rowHeight="257175"/>
  <slicer name="% Discount 1" xr10:uid="{5A161270-E21B-474C-961C-CFC53221AC23}" cache="Slicer___Discount" caption="% Discoun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49119E5-DF64-4D57-B4FD-FE246D754908}" name="Table3" displayName="Table3" ref="A1:J26" totalsRowShown="0" dataDxfId="7" dataCellStyle="Currency">
  <autoFilter ref="A1:J26" xr:uid="{549119E5-DF64-4D57-B4FD-FE246D754908}"/>
  <tableColumns count="10">
    <tableColumn id="1" xr3:uid="{EDE27095-6DC0-443A-AFE3-BF25E79ED9DE}" name="Item Code"/>
    <tableColumn id="2" xr3:uid="{7A4BB191-7E8D-404F-895A-508942E6E554}" name="Page No."/>
    <tableColumn id="3" xr3:uid="{64FF475A-B8FA-46A7-807E-21B2D185E309}" name="Category"/>
    <tableColumn id="4" xr3:uid="{FA4E68B9-9936-4463-8962-DEC32128EFD3}" name="Description"/>
    <tableColumn id="5" xr3:uid="{5EE3A704-D978-4ED9-95E4-1D05EA37DFA2}" name="Brochure Amount" dataCellStyle="Currency"/>
    <tableColumn id="6" xr3:uid="{46917ED1-9698-4502-B719-919921E37400}" name="Qty" dataDxfId="1"/>
    <tableColumn id="7" xr3:uid="{BC71C4BA-5859-44B3-B1D8-6285F01CDF34}" name="Total Brochure Amount" dataDxfId="2" dataCellStyle="Currency"/>
    <tableColumn id="8" xr3:uid="{243FFFAD-3EC4-47CF-B451-1BB3B4497730}" name="% Discount" dataCellStyle="Percent"/>
    <tableColumn id="9" xr3:uid="{E3CB758B-EDC0-429A-8E37-F3A792363D56}" name="You Earn" dataDxfId="4" dataCellStyle="Currency"/>
    <tableColumn id="10" xr3:uid="{3DE1553B-D293-4062-99CA-208FE0AD3172}" name="Pay Avon" dataDxfId="3" dataCellStyle="Currency"/>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8B894-D256-4890-A970-54B12601DC28}" name="Table1" displayName="Table1" ref="A35:C39" totalsRowShown="0">
  <autoFilter ref="A35:C39" xr:uid="{3098B894-D256-4890-A970-54B12601DC28}"/>
  <tableColumns count="3">
    <tableColumn id="1" xr3:uid="{6EF4CF02-C0BE-453C-AA44-3CFF99848F52}" name="Category"/>
    <tableColumn id="2" xr3:uid="{4EBF3B5A-EB2C-49FF-AF10-A99EB31D4948}" name="Total Brochure Amount" dataDxfId="6">
      <calculatedColumnFormula>N2</calculatedColumnFormula>
    </tableColumn>
    <tableColumn id="3" xr3:uid="{A428C748-E203-4CC8-A542-B49E4C8F96F4}" name="Total To Pay Avon " dataDxfId="5">
      <calculatedColumnFormula>N9</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EE22D1-2BAA-4BA8-9742-82705617DBD7}" name="Table2" displayName="Table2" ref="E35:F39" totalsRowShown="0">
  <autoFilter ref="E35:F39" xr:uid="{13EE22D1-2BAA-4BA8-9742-82705617DBD7}"/>
  <tableColumns count="2">
    <tableColumn id="1" xr3:uid="{3B17CFA9-3974-40F6-825D-15B5A74B0499}" name="Category"/>
    <tableColumn id="2" xr3:uid="{664D66B3-D006-4E77-9E5D-2B1BCEDBD0D7}" name="Total Quantit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474BA-BE95-485F-9589-2DBC1768319B}">
  <sheetPr>
    <pageSetUpPr fitToPage="1"/>
  </sheetPr>
  <dimension ref="A1:J39"/>
  <sheetViews>
    <sheetView view="pageBreakPreview" zoomScale="60" zoomScaleNormal="55" workbookViewId="0">
      <selection activeCell="E6" sqref="E6"/>
    </sheetView>
  </sheetViews>
  <sheetFormatPr defaultRowHeight="15.75" x14ac:dyDescent="0.25"/>
  <cols>
    <col min="1" max="1" width="10.375" customWidth="1"/>
    <col min="2" max="2" width="8.875" customWidth="1"/>
    <col min="4" max="4" width="27" customWidth="1"/>
    <col min="5" max="5" width="17.125" customWidth="1"/>
    <col min="7" max="7" width="22.75" customWidth="1"/>
    <col min="8" max="8" width="14.375" customWidth="1"/>
    <col min="9" max="9" width="13" customWidth="1"/>
    <col min="10" max="10" width="16.75" customWidth="1"/>
  </cols>
  <sheetData>
    <row r="1" spans="1:10" s="2" customFormat="1" ht="101.25" x14ac:dyDescent="1.95">
      <c r="A1" s="1" t="s">
        <v>0</v>
      </c>
    </row>
    <row r="2" spans="1:10" ht="19.5" x14ac:dyDescent="0.4">
      <c r="A2" s="4" t="s">
        <v>1</v>
      </c>
      <c r="G2" s="4" t="s">
        <v>7</v>
      </c>
      <c r="H2" s="3"/>
    </row>
    <row r="3" spans="1:10" ht="19.5" x14ac:dyDescent="0.4">
      <c r="A3" s="3" t="s">
        <v>2</v>
      </c>
      <c r="G3" s="3">
        <v>400000001</v>
      </c>
      <c r="H3" s="3"/>
    </row>
    <row r="4" spans="1:10" ht="19.5" x14ac:dyDescent="0.4">
      <c r="A4" s="3" t="s">
        <v>3</v>
      </c>
      <c r="G4" s="3"/>
      <c r="H4" s="3"/>
    </row>
    <row r="5" spans="1:10" ht="19.5" x14ac:dyDescent="0.4">
      <c r="A5" s="3" t="s">
        <v>4</v>
      </c>
      <c r="G5" s="3" t="s">
        <v>12</v>
      </c>
      <c r="H5" s="3"/>
    </row>
    <row r="6" spans="1:10" ht="19.5" x14ac:dyDescent="0.4">
      <c r="G6" s="3" t="s">
        <v>13</v>
      </c>
      <c r="H6" s="3"/>
    </row>
    <row r="7" spans="1:10" ht="19.5" x14ac:dyDescent="0.4">
      <c r="A7" s="3" t="s">
        <v>6</v>
      </c>
      <c r="G7" s="3"/>
      <c r="H7" s="3"/>
    </row>
    <row r="8" spans="1:10" ht="19.5" x14ac:dyDescent="0.4">
      <c r="G8" s="4" t="s">
        <v>8</v>
      </c>
      <c r="H8" s="3"/>
    </row>
    <row r="9" spans="1:10" ht="19.5" x14ac:dyDescent="0.4">
      <c r="A9" s="4" t="s">
        <v>5</v>
      </c>
      <c r="G9" s="3" t="s">
        <v>14</v>
      </c>
      <c r="H9" s="3"/>
    </row>
    <row r="10" spans="1:10" ht="19.5" x14ac:dyDescent="0.4">
      <c r="A10" s="3" t="s">
        <v>9</v>
      </c>
      <c r="G10" s="3" t="s">
        <v>15</v>
      </c>
      <c r="H10" s="3"/>
    </row>
    <row r="11" spans="1:10" ht="19.5" x14ac:dyDescent="0.4">
      <c r="A11" s="3" t="s">
        <v>10</v>
      </c>
      <c r="G11" s="3" t="s">
        <v>16</v>
      </c>
      <c r="H11" s="3"/>
    </row>
    <row r="12" spans="1:10" ht="19.5" x14ac:dyDescent="0.4">
      <c r="A12" s="3" t="s">
        <v>11</v>
      </c>
      <c r="G12" s="3" t="s">
        <v>17</v>
      </c>
    </row>
    <row r="14" spans="1:10" ht="19.5" x14ac:dyDescent="0.4">
      <c r="A14" s="3" t="s">
        <v>18</v>
      </c>
      <c r="B14" t="s">
        <v>19</v>
      </c>
      <c r="C14" t="s">
        <v>20</v>
      </c>
      <c r="D14" t="s">
        <v>21</v>
      </c>
      <c r="E14" t="s">
        <v>22</v>
      </c>
      <c r="F14" t="s">
        <v>23</v>
      </c>
      <c r="G14" s="3" t="s">
        <v>24</v>
      </c>
      <c r="H14" t="s">
        <v>25</v>
      </c>
      <c r="I14" t="s">
        <v>26</v>
      </c>
      <c r="J14" t="s">
        <v>27</v>
      </c>
    </row>
    <row r="15" spans="1:10" x14ac:dyDescent="0.25">
      <c r="A15">
        <v>1570035</v>
      </c>
      <c r="B15">
        <v>78</v>
      </c>
      <c r="C15" t="s">
        <v>28</v>
      </c>
      <c r="D15" t="s">
        <v>34</v>
      </c>
      <c r="E15">
        <v>58.07</v>
      </c>
      <c r="F15">
        <v>1</v>
      </c>
      <c r="G15">
        <v>58.07</v>
      </c>
      <c r="H15" s="5">
        <v>0.2</v>
      </c>
      <c r="I15">
        <v>11.61</v>
      </c>
      <c r="J15">
        <v>46.46</v>
      </c>
    </row>
    <row r="16" spans="1:10" x14ac:dyDescent="0.25">
      <c r="A16">
        <v>1585883</v>
      </c>
      <c r="B16">
        <v>78</v>
      </c>
      <c r="C16" t="s">
        <v>28</v>
      </c>
      <c r="D16" t="s">
        <v>35</v>
      </c>
      <c r="E16">
        <v>26.93</v>
      </c>
      <c r="F16">
        <v>1</v>
      </c>
      <c r="G16">
        <v>26.93</v>
      </c>
      <c r="H16" s="5">
        <v>0.2</v>
      </c>
      <c r="I16">
        <v>5.39</v>
      </c>
      <c r="J16">
        <v>21.54</v>
      </c>
    </row>
    <row r="17" spans="1:10" x14ac:dyDescent="0.25">
      <c r="A17">
        <v>1566272</v>
      </c>
      <c r="B17">
        <v>158</v>
      </c>
      <c r="C17" t="s">
        <v>28</v>
      </c>
      <c r="D17" t="s">
        <v>36</v>
      </c>
      <c r="E17">
        <v>109</v>
      </c>
      <c r="F17">
        <v>1</v>
      </c>
      <c r="G17">
        <v>109</v>
      </c>
      <c r="H17" s="5">
        <v>0.2</v>
      </c>
      <c r="I17">
        <v>21.8</v>
      </c>
      <c r="J17">
        <v>87.2</v>
      </c>
    </row>
    <row r="18" spans="1:10" x14ac:dyDescent="0.25">
      <c r="A18">
        <v>1560547</v>
      </c>
      <c r="B18">
        <v>144</v>
      </c>
      <c r="C18" t="s">
        <v>28</v>
      </c>
      <c r="D18" t="s">
        <v>37</v>
      </c>
      <c r="E18">
        <v>75</v>
      </c>
      <c r="F18">
        <v>1</v>
      </c>
      <c r="G18">
        <v>150</v>
      </c>
      <c r="H18" s="5">
        <v>0.2</v>
      </c>
      <c r="I18">
        <v>30</v>
      </c>
      <c r="J18">
        <v>120</v>
      </c>
    </row>
    <row r="19" spans="1:10" x14ac:dyDescent="0.25">
      <c r="A19">
        <v>1575527</v>
      </c>
      <c r="B19">
        <v>140</v>
      </c>
      <c r="C19" t="s">
        <v>28</v>
      </c>
      <c r="D19" t="s">
        <v>38</v>
      </c>
      <c r="E19">
        <v>159</v>
      </c>
      <c r="F19">
        <v>1</v>
      </c>
      <c r="G19">
        <v>159</v>
      </c>
      <c r="H19" s="5">
        <v>0.2</v>
      </c>
      <c r="I19">
        <v>31.8</v>
      </c>
      <c r="J19">
        <v>127.2</v>
      </c>
    </row>
    <row r="20" spans="1:10" x14ac:dyDescent="0.25">
      <c r="A20">
        <v>1575531</v>
      </c>
      <c r="B20">
        <v>140</v>
      </c>
      <c r="C20" t="s">
        <v>28</v>
      </c>
      <c r="D20" t="s">
        <v>39</v>
      </c>
      <c r="E20">
        <v>189</v>
      </c>
      <c r="F20">
        <v>1</v>
      </c>
      <c r="G20">
        <v>189</v>
      </c>
      <c r="H20" s="5">
        <v>0.2</v>
      </c>
      <c r="I20">
        <v>37.799999999999997</v>
      </c>
      <c r="J20">
        <v>151.19999999999999</v>
      </c>
    </row>
    <row r="21" spans="1:10" x14ac:dyDescent="0.25">
      <c r="A21">
        <v>1562984</v>
      </c>
      <c r="B21">
        <v>800</v>
      </c>
      <c r="C21" t="s">
        <v>28</v>
      </c>
      <c r="D21" t="s">
        <v>40</v>
      </c>
      <c r="E21">
        <v>249</v>
      </c>
      <c r="F21">
        <v>1</v>
      </c>
      <c r="G21">
        <v>249</v>
      </c>
      <c r="H21" s="5">
        <v>0.15</v>
      </c>
      <c r="I21">
        <v>37.35</v>
      </c>
      <c r="J21">
        <v>211.65</v>
      </c>
    </row>
    <row r="22" spans="1:10" x14ac:dyDescent="0.25">
      <c r="A22">
        <v>1588221</v>
      </c>
      <c r="B22">
        <v>66</v>
      </c>
      <c r="C22" t="s">
        <v>28</v>
      </c>
      <c r="D22" t="s">
        <v>41</v>
      </c>
      <c r="E22">
        <v>27</v>
      </c>
      <c r="F22">
        <v>1</v>
      </c>
      <c r="G22">
        <v>27</v>
      </c>
      <c r="H22" s="5">
        <v>0.2</v>
      </c>
      <c r="I22">
        <v>5.4</v>
      </c>
      <c r="J22">
        <v>21.6</v>
      </c>
    </row>
    <row r="23" spans="1:10" x14ac:dyDescent="0.25">
      <c r="A23">
        <v>1585751</v>
      </c>
      <c r="B23">
        <v>66</v>
      </c>
      <c r="C23" t="s">
        <v>28</v>
      </c>
      <c r="D23" t="s">
        <v>42</v>
      </c>
      <c r="E23">
        <v>27</v>
      </c>
      <c r="F23">
        <v>1</v>
      </c>
      <c r="G23">
        <v>27</v>
      </c>
      <c r="H23" s="5">
        <v>0.2</v>
      </c>
      <c r="I23">
        <v>5.4</v>
      </c>
      <c r="J23">
        <v>21.6</v>
      </c>
    </row>
    <row r="24" spans="1:10" x14ac:dyDescent="0.25">
      <c r="A24">
        <v>1585687</v>
      </c>
      <c r="B24">
        <v>66</v>
      </c>
      <c r="C24" t="s">
        <v>28</v>
      </c>
      <c r="D24" t="s">
        <v>43</v>
      </c>
      <c r="E24">
        <v>27</v>
      </c>
      <c r="F24">
        <v>1</v>
      </c>
      <c r="G24">
        <v>27</v>
      </c>
      <c r="H24" s="5">
        <v>0.2</v>
      </c>
      <c r="I24">
        <v>5.4</v>
      </c>
      <c r="J24">
        <v>21.6</v>
      </c>
    </row>
    <row r="25" spans="1:10" x14ac:dyDescent="0.25">
      <c r="A25">
        <v>1590059</v>
      </c>
      <c r="B25">
        <v>162</v>
      </c>
      <c r="C25" t="s">
        <v>28</v>
      </c>
      <c r="D25" t="s">
        <v>50</v>
      </c>
      <c r="E25">
        <v>89.5</v>
      </c>
      <c r="F25">
        <v>1</v>
      </c>
      <c r="G25">
        <v>89.5</v>
      </c>
      <c r="H25" s="5">
        <v>0.2</v>
      </c>
      <c r="I25">
        <v>17.899999999999999</v>
      </c>
      <c r="J25">
        <v>71.599999999999994</v>
      </c>
    </row>
    <row r="26" spans="1:10" x14ac:dyDescent="0.25">
      <c r="A26">
        <v>1566149</v>
      </c>
      <c r="B26">
        <v>162</v>
      </c>
      <c r="C26" t="s">
        <v>28</v>
      </c>
      <c r="D26" t="s">
        <v>44</v>
      </c>
      <c r="E26">
        <v>89.5</v>
      </c>
      <c r="F26">
        <v>1</v>
      </c>
      <c r="G26">
        <v>89.5</v>
      </c>
      <c r="H26" s="5">
        <v>0.2</v>
      </c>
      <c r="I26">
        <v>17.899999999999999</v>
      </c>
      <c r="J26">
        <v>71.599999999999994</v>
      </c>
    </row>
    <row r="27" spans="1:10" x14ac:dyDescent="0.25">
      <c r="A27">
        <v>1584523</v>
      </c>
      <c r="B27">
        <v>66</v>
      </c>
      <c r="C27" t="s">
        <v>28</v>
      </c>
      <c r="D27" t="s">
        <v>45</v>
      </c>
      <c r="E27">
        <v>27</v>
      </c>
      <c r="F27">
        <v>1</v>
      </c>
      <c r="G27">
        <v>27</v>
      </c>
      <c r="H27" s="5">
        <v>0.2</v>
      </c>
      <c r="I27">
        <v>5.4</v>
      </c>
      <c r="J27">
        <v>21.6</v>
      </c>
    </row>
    <row r="28" spans="1:10" x14ac:dyDescent="0.25">
      <c r="A28">
        <v>1592675</v>
      </c>
      <c r="B28">
        <v>703</v>
      </c>
      <c r="C28" t="s">
        <v>29</v>
      </c>
      <c r="D28" t="s">
        <v>46</v>
      </c>
      <c r="E28">
        <v>75</v>
      </c>
      <c r="F28">
        <v>1</v>
      </c>
      <c r="G28">
        <v>75</v>
      </c>
      <c r="H28" s="5">
        <v>0</v>
      </c>
      <c r="I28">
        <v>0</v>
      </c>
      <c r="J28">
        <v>75</v>
      </c>
    </row>
    <row r="29" spans="1:10" x14ac:dyDescent="0.25">
      <c r="A29">
        <v>1590645</v>
      </c>
      <c r="B29">
        <v>702</v>
      </c>
      <c r="C29" t="s">
        <v>29</v>
      </c>
      <c r="D29" t="s">
        <v>47</v>
      </c>
      <c r="E29">
        <v>61.99</v>
      </c>
      <c r="F29">
        <v>1</v>
      </c>
      <c r="G29">
        <v>61.99</v>
      </c>
      <c r="H29" s="5">
        <v>0</v>
      </c>
      <c r="I29">
        <v>0</v>
      </c>
      <c r="J29">
        <v>61.99</v>
      </c>
    </row>
    <row r="30" spans="1:10" x14ac:dyDescent="0.25">
      <c r="A30">
        <v>1589633</v>
      </c>
      <c r="B30">
        <v>702</v>
      </c>
      <c r="C30" t="s">
        <v>29</v>
      </c>
      <c r="D30" t="s">
        <v>48</v>
      </c>
      <c r="E30">
        <v>55.02</v>
      </c>
      <c r="F30">
        <v>1</v>
      </c>
      <c r="G30">
        <v>55.02</v>
      </c>
      <c r="H30" s="5">
        <v>0</v>
      </c>
      <c r="I30">
        <v>0</v>
      </c>
      <c r="J30">
        <v>55.02</v>
      </c>
    </row>
    <row r="31" spans="1:10" x14ac:dyDescent="0.25">
      <c r="A31">
        <v>1589625</v>
      </c>
      <c r="B31">
        <v>702</v>
      </c>
      <c r="C31" t="s">
        <v>29</v>
      </c>
      <c r="D31" t="s">
        <v>49</v>
      </c>
      <c r="E31">
        <v>61.99</v>
      </c>
      <c r="F31">
        <v>1</v>
      </c>
      <c r="G31">
        <v>61.99</v>
      </c>
      <c r="H31" s="5">
        <v>0</v>
      </c>
      <c r="I31">
        <v>0</v>
      </c>
      <c r="J31">
        <v>61.99</v>
      </c>
    </row>
    <row r="32" spans="1:10" x14ac:dyDescent="0.25">
      <c r="A32">
        <v>1594512</v>
      </c>
      <c r="B32">
        <v>703</v>
      </c>
      <c r="C32" t="s">
        <v>29</v>
      </c>
      <c r="D32" t="s">
        <v>51</v>
      </c>
      <c r="E32">
        <v>39</v>
      </c>
      <c r="F32">
        <v>1</v>
      </c>
      <c r="G32">
        <v>39</v>
      </c>
      <c r="H32" s="5">
        <v>0</v>
      </c>
      <c r="I32">
        <v>0</v>
      </c>
      <c r="J32">
        <v>39</v>
      </c>
    </row>
    <row r="33" spans="1:10" x14ac:dyDescent="0.25">
      <c r="A33">
        <v>1426315</v>
      </c>
      <c r="B33">
        <v>720</v>
      </c>
      <c r="C33" t="s">
        <v>29</v>
      </c>
      <c r="D33" t="s">
        <v>52</v>
      </c>
      <c r="E33">
        <v>17.899999999999999</v>
      </c>
      <c r="F33">
        <v>1</v>
      </c>
      <c r="G33">
        <v>17.899999999999999</v>
      </c>
      <c r="H33" s="5">
        <v>0</v>
      </c>
      <c r="I33">
        <v>0</v>
      </c>
      <c r="J33">
        <v>17.899999999999999</v>
      </c>
    </row>
    <row r="34" spans="1:10" x14ac:dyDescent="0.25">
      <c r="A34">
        <v>872311</v>
      </c>
      <c r="B34">
        <v>0</v>
      </c>
      <c r="C34" t="s">
        <v>30</v>
      </c>
      <c r="D34" t="s">
        <v>53</v>
      </c>
      <c r="E34">
        <v>0</v>
      </c>
      <c r="F34">
        <v>1</v>
      </c>
      <c r="G34">
        <v>0</v>
      </c>
      <c r="H34" s="5">
        <v>0</v>
      </c>
      <c r="I34">
        <v>0</v>
      </c>
      <c r="J34">
        <v>0</v>
      </c>
    </row>
    <row r="35" spans="1:10" x14ac:dyDescent="0.25">
      <c r="A35">
        <v>1426315</v>
      </c>
      <c r="B35">
        <v>720</v>
      </c>
      <c r="C35" t="s">
        <v>30</v>
      </c>
      <c r="D35" t="s">
        <v>52</v>
      </c>
      <c r="E35">
        <v>0</v>
      </c>
      <c r="F35">
        <v>1</v>
      </c>
      <c r="G35">
        <v>0</v>
      </c>
      <c r="H35" s="5">
        <v>0.2</v>
      </c>
      <c r="I35">
        <v>0</v>
      </c>
      <c r="J35">
        <v>0</v>
      </c>
    </row>
    <row r="36" spans="1:10" x14ac:dyDescent="0.25">
      <c r="A36">
        <v>1478944</v>
      </c>
      <c r="B36">
        <v>0</v>
      </c>
      <c r="C36" t="s">
        <v>30</v>
      </c>
      <c r="D36" t="s">
        <v>54</v>
      </c>
      <c r="E36">
        <v>0</v>
      </c>
      <c r="F36">
        <v>1</v>
      </c>
      <c r="G36">
        <v>0</v>
      </c>
      <c r="H36" s="5">
        <v>0</v>
      </c>
      <c r="I36">
        <v>0</v>
      </c>
      <c r="J36">
        <v>0</v>
      </c>
    </row>
    <row r="37" spans="1:10" x14ac:dyDescent="0.25">
      <c r="A37">
        <v>872516</v>
      </c>
      <c r="B37">
        <v>0</v>
      </c>
      <c r="C37" t="s">
        <v>30</v>
      </c>
      <c r="D37" t="s">
        <v>55</v>
      </c>
      <c r="E37">
        <v>0</v>
      </c>
      <c r="F37">
        <v>1</v>
      </c>
      <c r="G37">
        <v>0</v>
      </c>
      <c r="H37" s="5">
        <v>0</v>
      </c>
      <c r="I37">
        <v>0</v>
      </c>
      <c r="J37">
        <v>0</v>
      </c>
    </row>
    <row r="38" spans="1:10" x14ac:dyDescent="0.25">
      <c r="A38">
        <v>872124</v>
      </c>
      <c r="B38">
        <v>0</v>
      </c>
      <c r="C38" t="s">
        <v>31</v>
      </c>
      <c r="D38" t="s">
        <v>32</v>
      </c>
      <c r="E38">
        <v>15.5</v>
      </c>
      <c r="F38">
        <v>1</v>
      </c>
      <c r="G38">
        <v>15.5</v>
      </c>
      <c r="H38" s="5">
        <v>0</v>
      </c>
      <c r="I38">
        <v>0</v>
      </c>
      <c r="J38">
        <v>15.5</v>
      </c>
    </row>
    <row r="39" spans="1:10" x14ac:dyDescent="0.25">
      <c r="A39">
        <v>1478975</v>
      </c>
      <c r="B39">
        <v>0</v>
      </c>
      <c r="C39" t="s">
        <v>33</v>
      </c>
      <c r="D39" t="s">
        <v>56</v>
      </c>
      <c r="E39">
        <v>0</v>
      </c>
      <c r="F39">
        <v>2</v>
      </c>
      <c r="G39">
        <v>0</v>
      </c>
      <c r="H39" s="5">
        <v>0</v>
      </c>
      <c r="I39">
        <v>0</v>
      </c>
      <c r="J39">
        <v>0</v>
      </c>
    </row>
  </sheetData>
  <pageMargins left="0.7" right="0.7" top="0.75" bottom="0.75" header="0.3" footer="0.3"/>
  <pageSetup scale="5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D14F4-59AE-454C-8573-606B2921E7AB}">
  <sheetPr>
    <pageSetUpPr fitToPage="1"/>
  </sheetPr>
  <dimension ref="A1:N43"/>
  <sheetViews>
    <sheetView view="pageBreakPreview" zoomScale="60" zoomScaleNormal="90" workbookViewId="0">
      <selection activeCell="L4" sqref="L4"/>
    </sheetView>
  </sheetViews>
  <sheetFormatPr defaultRowHeight="15.75" x14ac:dyDescent="0.25"/>
  <cols>
    <col min="1" max="1" width="17.25" customWidth="1"/>
    <col min="2" max="2" width="22.125" customWidth="1"/>
    <col min="3" max="3" width="17.875" customWidth="1"/>
    <col min="4" max="4" width="34" bestFit="1" customWidth="1"/>
    <col min="5" max="5" width="27.625" style="25" bestFit="1" customWidth="1"/>
    <col min="6" max="6" width="14.75" style="25" customWidth="1"/>
    <col min="7" max="7" width="34.5" style="27" bestFit="1" customWidth="1"/>
    <col min="8" max="8" width="18" style="25" bestFit="1" customWidth="1"/>
    <col min="9" max="9" width="18" style="27" bestFit="1" customWidth="1"/>
    <col min="10" max="10" width="18.25" style="27" bestFit="1" customWidth="1"/>
    <col min="13" max="13" width="23.875" bestFit="1" customWidth="1"/>
    <col min="14" max="14" width="12.375" bestFit="1" customWidth="1"/>
  </cols>
  <sheetData>
    <row r="1" spans="1:14" ht="19.5" x14ac:dyDescent="0.4">
      <c r="A1" s="3" t="s">
        <v>18</v>
      </c>
      <c r="B1" t="s">
        <v>19</v>
      </c>
      <c r="C1" t="s">
        <v>20</v>
      </c>
      <c r="D1" t="s">
        <v>21</v>
      </c>
      <c r="E1" s="25" t="s">
        <v>22</v>
      </c>
      <c r="F1" s="25" t="s">
        <v>23</v>
      </c>
      <c r="G1" s="26" t="s">
        <v>24</v>
      </c>
      <c r="H1" s="25" t="s">
        <v>25</v>
      </c>
      <c r="I1" s="27" t="s">
        <v>26</v>
      </c>
      <c r="J1" s="27" t="s">
        <v>27</v>
      </c>
      <c r="M1" t="s">
        <v>64</v>
      </c>
      <c r="N1" s="6"/>
    </row>
    <row r="2" spans="1:14" x14ac:dyDescent="0.25">
      <c r="A2">
        <v>1570035</v>
      </c>
      <c r="B2">
        <v>78</v>
      </c>
      <c r="C2" t="s">
        <v>28</v>
      </c>
      <c r="D2" t="s">
        <v>34</v>
      </c>
      <c r="E2" s="7">
        <v>58.07</v>
      </c>
      <c r="F2" s="31">
        <v>1</v>
      </c>
      <c r="G2" s="7">
        <v>58.07</v>
      </c>
      <c r="H2" s="21">
        <v>0.2</v>
      </c>
      <c r="I2" s="7">
        <v>11.61</v>
      </c>
      <c r="J2" s="7">
        <v>46.46</v>
      </c>
      <c r="M2" s="8" t="s">
        <v>58</v>
      </c>
      <c r="N2" s="9">
        <f>SUMIF(C2:C26,"Products",G2:G26)</f>
        <v>1228</v>
      </c>
    </row>
    <row r="3" spans="1:14" x14ac:dyDescent="0.25">
      <c r="A3">
        <v>1585883</v>
      </c>
      <c r="B3">
        <v>78</v>
      </c>
      <c r="C3" t="s">
        <v>28</v>
      </c>
      <c r="D3" t="s">
        <v>35</v>
      </c>
      <c r="E3" s="7">
        <v>26.93</v>
      </c>
      <c r="F3" s="31">
        <v>1</v>
      </c>
      <c r="G3" s="7">
        <v>26.93</v>
      </c>
      <c r="H3" s="21">
        <v>0.2</v>
      </c>
      <c r="I3" s="7">
        <v>5.39</v>
      </c>
      <c r="J3" s="7">
        <v>21.54</v>
      </c>
      <c r="M3" s="10" t="s">
        <v>60</v>
      </c>
      <c r="N3" s="11">
        <f>SUMIF(C2:C26,"Let's Talk",G2:G26)</f>
        <v>310.89999999999998</v>
      </c>
    </row>
    <row r="4" spans="1:14" x14ac:dyDescent="0.25">
      <c r="A4">
        <v>1566272</v>
      </c>
      <c r="B4">
        <v>158</v>
      </c>
      <c r="C4" t="s">
        <v>28</v>
      </c>
      <c r="D4" t="s">
        <v>36</v>
      </c>
      <c r="E4" s="7">
        <v>109</v>
      </c>
      <c r="F4" s="31">
        <v>1</v>
      </c>
      <c r="G4" s="7">
        <v>109</v>
      </c>
      <c r="H4" s="21">
        <v>0.2</v>
      </c>
      <c r="I4" s="7">
        <v>21.8</v>
      </c>
      <c r="J4" s="7">
        <v>87.2</v>
      </c>
      <c r="M4" s="10" t="s">
        <v>59</v>
      </c>
      <c r="N4" s="11">
        <f>SUMIF(C2:C26,"Free Items",G2:G26)</f>
        <v>0</v>
      </c>
    </row>
    <row r="5" spans="1:14" x14ac:dyDescent="0.25">
      <c r="A5">
        <v>1560547</v>
      </c>
      <c r="B5">
        <v>144</v>
      </c>
      <c r="C5" t="s">
        <v>28</v>
      </c>
      <c r="D5" t="s">
        <v>37</v>
      </c>
      <c r="E5" s="7">
        <v>75</v>
      </c>
      <c r="F5" s="31">
        <v>1</v>
      </c>
      <c r="G5" s="7">
        <v>150</v>
      </c>
      <c r="H5" s="21">
        <v>0.2</v>
      </c>
      <c r="I5" s="7">
        <v>30</v>
      </c>
      <c r="J5" s="7">
        <v>120</v>
      </c>
      <c r="M5" s="12" t="s">
        <v>61</v>
      </c>
      <c r="N5" s="13">
        <f>SUMIF(Table3[Category],"Charges",Table3[Total Brochure Amount])</f>
        <v>15.5</v>
      </c>
    </row>
    <row r="6" spans="1:14" x14ac:dyDescent="0.25">
      <c r="A6">
        <v>1575527</v>
      </c>
      <c r="B6">
        <v>140</v>
      </c>
      <c r="C6" t="s">
        <v>28</v>
      </c>
      <c r="D6" t="s">
        <v>38</v>
      </c>
      <c r="E6" s="7">
        <v>159</v>
      </c>
      <c r="F6" s="31">
        <v>1</v>
      </c>
      <c r="G6" s="7">
        <v>159</v>
      </c>
      <c r="H6" s="21">
        <v>0.2</v>
      </c>
      <c r="I6" s="7">
        <v>31.8</v>
      </c>
      <c r="J6" s="7">
        <v>127.2</v>
      </c>
    </row>
    <row r="7" spans="1:14" x14ac:dyDescent="0.25">
      <c r="A7">
        <v>1575531</v>
      </c>
      <c r="B7">
        <v>140</v>
      </c>
      <c r="C7" t="s">
        <v>28</v>
      </c>
      <c r="D7" t="s">
        <v>39</v>
      </c>
      <c r="E7" s="7">
        <v>189</v>
      </c>
      <c r="F7" s="31">
        <v>1</v>
      </c>
      <c r="G7" s="7">
        <v>189</v>
      </c>
      <c r="H7" s="21">
        <v>0.2</v>
      </c>
      <c r="I7" s="7">
        <v>37.799999999999997</v>
      </c>
      <c r="J7" s="7">
        <v>151.19999999999999</v>
      </c>
    </row>
    <row r="8" spans="1:14" x14ac:dyDescent="0.25">
      <c r="A8">
        <v>1562984</v>
      </c>
      <c r="B8">
        <v>800</v>
      </c>
      <c r="C8" t="s">
        <v>28</v>
      </c>
      <c r="D8" t="s">
        <v>40</v>
      </c>
      <c r="E8" s="7">
        <v>249</v>
      </c>
      <c r="F8" s="31">
        <v>1</v>
      </c>
      <c r="G8" s="7">
        <v>249</v>
      </c>
      <c r="H8" s="21">
        <v>0.15</v>
      </c>
      <c r="I8" s="7">
        <v>37.35</v>
      </c>
      <c r="J8" s="7">
        <v>211.65</v>
      </c>
      <c r="M8" s="6" t="s">
        <v>67</v>
      </c>
    </row>
    <row r="9" spans="1:14" x14ac:dyDescent="0.25">
      <c r="A9">
        <v>1588221</v>
      </c>
      <c r="B9">
        <v>66</v>
      </c>
      <c r="C9" t="s">
        <v>28</v>
      </c>
      <c r="D9" t="s">
        <v>41</v>
      </c>
      <c r="E9" s="7">
        <v>27</v>
      </c>
      <c r="F9" s="31">
        <v>1</v>
      </c>
      <c r="G9" s="7">
        <v>27</v>
      </c>
      <c r="H9" s="21">
        <v>0.2</v>
      </c>
      <c r="I9" s="7">
        <v>5.4</v>
      </c>
      <c r="J9" s="7">
        <v>21.6</v>
      </c>
      <c r="M9" s="8" t="s">
        <v>58</v>
      </c>
      <c r="N9" s="9">
        <f>SUMIF(Table3[Category],"Products",Table3[Pay Avon])</f>
        <v>994.85</v>
      </c>
    </row>
    <row r="10" spans="1:14" x14ac:dyDescent="0.25">
      <c r="A10">
        <v>1585751</v>
      </c>
      <c r="B10">
        <v>66</v>
      </c>
      <c r="C10" t="s">
        <v>28</v>
      </c>
      <c r="D10" t="s">
        <v>42</v>
      </c>
      <c r="E10" s="7">
        <v>27</v>
      </c>
      <c r="F10" s="31">
        <v>1</v>
      </c>
      <c r="G10" s="7">
        <v>27</v>
      </c>
      <c r="H10" s="21">
        <v>0.2</v>
      </c>
      <c r="I10" s="7">
        <v>5.4</v>
      </c>
      <c r="J10" s="7">
        <v>21.6</v>
      </c>
      <c r="M10" s="10" t="s">
        <v>60</v>
      </c>
      <c r="N10" s="11">
        <f>SUMIF(Table3[Category],"Let's Talk",Table3[Pay Avon])</f>
        <v>310.89999999999998</v>
      </c>
    </row>
    <row r="11" spans="1:14" x14ac:dyDescent="0.25">
      <c r="A11">
        <v>1585687</v>
      </c>
      <c r="B11">
        <v>66</v>
      </c>
      <c r="C11" t="s">
        <v>28</v>
      </c>
      <c r="D11" t="s">
        <v>43</v>
      </c>
      <c r="E11" s="7">
        <v>27</v>
      </c>
      <c r="F11" s="31">
        <v>1</v>
      </c>
      <c r="G11" s="7">
        <v>27</v>
      </c>
      <c r="H11" s="21">
        <v>0.2</v>
      </c>
      <c r="I11" s="7">
        <v>5.4</v>
      </c>
      <c r="J11" s="7">
        <v>21.6</v>
      </c>
      <c r="M11" s="10" t="s">
        <v>59</v>
      </c>
      <c r="N11" s="11">
        <f>SUMIF(Table3[Category],"Free Items",Table3[Pay Avon])</f>
        <v>0</v>
      </c>
    </row>
    <row r="12" spans="1:14" x14ac:dyDescent="0.25">
      <c r="A12">
        <v>1590059</v>
      </c>
      <c r="B12">
        <v>162</v>
      </c>
      <c r="C12" t="s">
        <v>28</v>
      </c>
      <c r="D12" t="s">
        <v>50</v>
      </c>
      <c r="E12" s="7">
        <v>89.5</v>
      </c>
      <c r="F12" s="31">
        <v>1</v>
      </c>
      <c r="G12" s="7">
        <v>89.5</v>
      </c>
      <c r="H12" s="21">
        <v>0.2</v>
      </c>
      <c r="I12" s="7">
        <v>17.899999999999999</v>
      </c>
      <c r="J12" s="7">
        <v>71.599999999999994</v>
      </c>
      <c r="M12" s="12" t="s">
        <v>61</v>
      </c>
      <c r="N12" s="13">
        <f>SUMIF(Table3[Category],"Charges",Table3[Pay Avon])</f>
        <v>15.5</v>
      </c>
    </row>
    <row r="13" spans="1:14" x14ac:dyDescent="0.25">
      <c r="A13">
        <v>1566149</v>
      </c>
      <c r="B13">
        <v>162</v>
      </c>
      <c r="C13" t="s">
        <v>28</v>
      </c>
      <c r="D13" t="s">
        <v>44</v>
      </c>
      <c r="E13" s="7">
        <v>89.5</v>
      </c>
      <c r="F13" s="31">
        <v>1</v>
      </c>
      <c r="G13" s="7">
        <v>89.5</v>
      </c>
      <c r="H13" s="21">
        <v>0.2</v>
      </c>
      <c r="I13" s="7">
        <v>17.899999999999999</v>
      </c>
      <c r="J13" s="7">
        <v>71.599999999999994</v>
      </c>
    </row>
    <row r="14" spans="1:14" x14ac:dyDescent="0.25">
      <c r="A14">
        <v>1584523</v>
      </c>
      <c r="B14">
        <v>66</v>
      </c>
      <c r="C14" t="s">
        <v>28</v>
      </c>
      <c r="D14" t="s">
        <v>45</v>
      </c>
      <c r="E14" s="7">
        <v>27</v>
      </c>
      <c r="F14" s="31">
        <v>1</v>
      </c>
      <c r="G14" s="7">
        <v>27</v>
      </c>
      <c r="H14" s="21">
        <v>0.2</v>
      </c>
      <c r="I14" s="7">
        <v>5.4</v>
      </c>
      <c r="J14" s="7">
        <v>21.6</v>
      </c>
    </row>
    <row r="15" spans="1:14" x14ac:dyDescent="0.25">
      <c r="A15">
        <v>1592675</v>
      </c>
      <c r="B15">
        <v>703</v>
      </c>
      <c r="C15" t="s">
        <v>29</v>
      </c>
      <c r="D15" t="s">
        <v>46</v>
      </c>
      <c r="E15" s="7">
        <v>75</v>
      </c>
      <c r="F15" s="31">
        <v>1</v>
      </c>
      <c r="G15" s="7">
        <v>75</v>
      </c>
      <c r="H15" s="21">
        <v>0</v>
      </c>
      <c r="I15" s="7">
        <v>0</v>
      </c>
      <c r="J15" s="7">
        <v>75</v>
      </c>
      <c r="M15" s="6" t="s">
        <v>62</v>
      </c>
    </row>
    <row r="16" spans="1:14" x14ac:dyDescent="0.25">
      <c r="A16">
        <v>1590645</v>
      </c>
      <c r="B16">
        <v>702</v>
      </c>
      <c r="C16" t="s">
        <v>29</v>
      </c>
      <c r="D16" t="s">
        <v>47</v>
      </c>
      <c r="E16" s="7">
        <v>61.99</v>
      </c>
      <c r="F16" s="31">
        <v>1</v>
      </c>
      <c r="G16" s="7">
        <v>61.99</v>
      </c>
      <c r="H16" s="21">
        <v>0</v>
      </c>
      <c r="I16" s="7">
        <v>0</v>
      </c>
      <c r="J16" s="7">
        <v>61.99</v>
      </c>
      <c r="M16" s="8" t="s">
        <v>58</v>
      </c>
      <c r="N16" s="9">
        <f>SUMIF(C2:C26,"Products",Table3[You Earn])</f>
        <v>233.15</v>
      </c>
    </row>
    <row r="17" spans="1:14" x14ac:dyDescent="0.25">
      <c r="A17">
        <v>1589633</v>
      </c>
      <c r="B17">
        <v>702</v>
      </c>
      <c r="C17" t="s">
        <v>29</v>
      </c>
      <c r="D17" t="s">
        <v>48</v>
      </c>
      <c r="E17" s="7">
        <v>55.02</v>
      </c>
      <c r="F17" s="31">
        <v>1</v>
      </c>
      <c r="G17" s="7">
        <v>55.02</v>
      </c>
      <c r="H17" s="21">
        <v>0</v>
      </c>
      <c r="I17" s="7">
        <v>0</v>
      </c>
      <c r="J17" s="7">
        <v>55.02</v>
      </c>
      <c r="M17" s="10" t="s">
        <v>60</v>
      </c>
      <c r="N17" s="11">
        <f>SUMIF(Table3[Category],"Let's Talk",Table3[You Earn])</f>
        <v>0</v>
      </c>
    </row>
    <row r="18" spans="1:14" x14ac:dyDescent="0.25">
      <c r="A18">
        <v>1589625</v>
      </c>
      <c r="B18">
        <v>702</v>
      </c>
      <c r="C18" t="s">
        <v>29</v>
      </c>
      <c r="D18" t="s">
        <v>49</v>
      </c>
      <c r="E18" s="7">
        <v>61.99</v>
      </c>
      <c r="F18" s="31">
        <v>1</v>
      </c>
      <c r="G18" s="7">
        <v>61.99</v>
      </c>
      <c r="H18" s="21">
        <v>0</v>
      </c>
      <c r="I18" s="7">
        <v>0</v>
      </c>
      <c r="J18" s="7">
        <v>61.99</v>
      </c>
      <c r="M18" s="10" t="s">
        <v>59</v>
      </c>
      <c r="N18" s="11">
        <f>SUMIF(Table3[Category],"Free Items",Table3[You Earn])</f>
        <v>0</v>
      </c>
    </row>
    <row r="19" spans="1:14" x14ac:dyDescent="0.25">
      <c r="A19">
        <v>1594512</v>
      </c>
      <c r="B19">
        <v>703</v>
      </c>
      <c r="C19" t="s">
        <v>29</v>
      </c>
      <c r="D19" t="s">
        <v>51</v>
      </c>
      <c r="E19" s="7">
        <v>39</v>
      </c>
      <c r="F19" s="31">
        <v>1</v>
      </c>
      <c r="G19" s="7">
        <v>39</v>
      </c>
      <c r="H19" s="21">
        <v>0</v>
      </c>
      <c r="I19" s="7">
        <v>0</v>
      </c>
      <c r="J19" s="7">
        <v>39</v>
      </c>
      <c r="M19" s="12" t="s">
        <v>61</v>
      </c>
      <c r="N19" s="13">
        <f>SUMIF(Table3[Category],"Charges",Table3[You Earn])</f>
        <v>0</v>
      </c>
    </row>
    <row r="20" spans="1:14" x14ac:dyDescent="0.25">
      <c r="A20">
        <v>1426315</v>
      </c>
      <c r="B20">
        <v>720</v>
      </c>
      <c r="C20" t="s">
        <v>29</v>
      </c>
      <c r="D20" t="s">
        <v>52</v>
      </c>
      <c r="E20" s="7">
        <v>17.899999999999999</v>
      </c>
      <c r="F20" s="31">
        <v>1</v>
      </c>
      <c r="G20" s="7">
        <v>17.899999999999999</v>
      </c>
      <c r="H20" s="21">
        <v>0</v>
      </c>
      <c r="I20" s="7">
        <v>0</v>
      </c>
      <c r="J20" s="7">
        <v>17.899999999999999</v>
      </c>
    </row>
    <row r="21" spans="1:14" x14ac:dyDescent="0.25">
      <c r="A21">
        <v>872311</v>
      </c>
      <c r="B21">
        <v>0</v>
      </c>
      <c r="C21" t="s">
        <v>30</v>
      </c>
      <c r="D21" t="s">
        <v>53</v>
      </c>
      <c r="E21" s="7">
        <v>0</v>
      </c>
      <c r="F21" s="31">
        <v>1</v>
      </c>
      <c r="G21" s="7">
        <v>0</v>
      </c>
      <c r="H21" s="21">
        <v>0</v>
      </c>
      <c r="I21" s="7">
        <v>0</v>
      </c>
      <c r="J21" s="7">
        <v>0</v>
      </c>
    </row>
    <row r="22" spans="1:14" x14ac:dyDescent="0.25">
      <c r="A22">
        <v>1426315</v>
      </c>
      <c r="B22">
        <v>720</v>
      </c>
      <c r="C22" t="s">
        <v>30</v>
      </c>
      <c r="D22" t="s">
        <v>52</v>
      </c>
      <c r="E22" s="7">
        <v>0</v>
      </c>
      <c r="F22" s="31">
        <v>1</v>
      </c>
      <c r="G22" s="7">
        <v>0</v>
      </c>
      <c r="H22" s="21">
        <v>0.2</v>
      </c>
      <c r="I22" s="7">
        <v>0</v>
      </c>
      <c r="J22" s="7">
        <v>0</v>
      </c>
      <c r="M22" s="22" t="s">
        <v>66</v>
      </c>
    </row>
    <row r="23" spans="1:14" x14ac:dyDescent="0.25">
      <c r="A23">
        <v>1478944</v>
      </c>
      <c r="B23">
        <v>0</v>
      </c>
      <c r="C23" t="s">
        <v>30</v>
      </c>
      <c r="D23" t="s">
        <v>54</v>
      </c>
      <c r="E23" s="7">
        <v>0</v>
      </c>
      <c r="F23" s="31">
        <v>1</v>
      </c>
      <c r="G23" s="7">
        <v>0</v>
      </c>
      <c r="H23" s="21">
        <v>0</v>
      </c>
      <c r="I23" s="7">
        <v>0</v>
      </c>
      <c r="J23" s="7">
        <v>0</v>
      </c>
      <c r="M23" s="23">
        <f>I28/G28</f>
        <v>0.14999356664951105</v>
      </c>
    </row>
    <row r="24" spans="1:14" x14ac:dyDescent="0.25">
      <c r="A24">
        <v>872516</v>
      </c>
      <c r="B24">
        <v>0</v>
      </c>
      <c r="C24" t="s">
        <v>30</v>
      </c>
      <c r="D24" t="s">
        <v>55</v>
      </c>
      <c r="E24" s="7">
        <v>0</v>
      </c>
      <c r="F24" s="31">
        <v>1</v>
      </c>
      <c r="G24" s="7">
        <v>0</v>
      </c>
      <c r="H24" s="21">
        <v>0</v>
      </c>
      <c r="I24" s="7">
        <v>0</v>
      </c>
      <c r="J24" s="7">
        <v>0</v>
      </c>
    </row>
    <row r="25" spans="1:14" x14ac:dyDescent="0.25">
      <c r="A25">
        <v>872124</v>
      </c>
      <c r="B25">
        <v>0</v>
      </c>
      <c r="C25" t="s">
        <v>31</v>
      </c>
      <c r="D25" t="s">
        <v>32</v>
      </c>
      <c r="E25" s="7">
        <v>15.5</v>
      </c>
      <c r="F25" s="31">
        <v>1</v>
      </c>
      <c r="G25" s="7">
        <v>15.5</v>
      </c>
      <c r="H25" s="21">
        <v>0</v>
      </c>
      <c r="I25" s="7">
        <v>0</v>
      </c>
      <c r="J25" s="7">
        <v>15.5</v>
      </c>
    </row>
    <row r="26" spans="1:14" x14ac:dyDescent="0.25">
      <c r="A26">
        <v>1478975</v>
      </c>
      <c r="B26">
        <v>0</v>
      </c>
      <c r="C26" t="s">
        <v>71</v>
      </c>
      <c r="D26" t="s">
        <v>56</v>
      </c>
      <c r="E26" s="7">
        <v>0</v>
      </c>
      <c r="F26" s="31">
        <v>2</v>
      </c>
      <c r="G26" s="7">
        <v>0</v>
      </c>
      <c r="H26" s="21">
        <v>0</v>
      </c>
      <c r="I26" s="7">
        <v>0</v>
      </c>
      <c r="J26" s="7">
        <v>0</v>
      </c>
    </row>
    <row r="27" spans="1:14" x14ac:dyDescent="0.25">
      <c r="E27" s="7"/>
      <c r="F27" s="31"/>
      <c r="G27" s="7"/>
      <c r="H27" s="21"/>
      <c r="I27" s="7"/>
      <c r="J27" s="7"/>
    </row>
    <row r="28" spans="1:14" x14ac:dyDescent="0.25">
      <c r="D28" s="14" t="s">
        <v>57</v>
      </c>
      <c r="E28" s="15">
        <v>1479.4</v>
      </c>
      <c r="F28" s="32">
        <v>24</v>
      </c>
      <c r="G28" s="15">
        <v>1554.4</v>
      </c>
      <c r="H28" s="29"/>
      <c r="I28" s="15">
        <v>233.15</v>
      </c>
      <c r="J28" s="15">
        <v>1321.25</v>
      </c>
    </row>
    <row r="29" spans="1:14" x14ac:dyDescent="0.25">
      <c r="D29" s="19" t="s">
        <v>65</v>
      </c>
      <c r="E29" s="20">
        <v>59.176000000000002</v>
      </c>
      <c r="F29" s="33">
        <f>AVERAGE(Table3[Qty])</f>
        <v>1.04</v>
      </c>
      <c r="G29" s="20">
        <v>62.176000000000002</v>
      </c>
      <c r="H29" s="30"/>
      <c r="I29" s="20">
        <v>9.3260000000000005</v>
      </c>
      <c r="J29" s="20">
        <v>52.85</v>
      </c>
    </row>
    <row r="33" spans="1:10" ht="27.75" x14ac:dyDescent="0.55000000000000004">
      <c r="A33" s="24" t="s">
        <v>72</v>
      </c>
      <c r="E33" s="28" t="s">
        <v>69</v>
      </c>
    </row>
    <row r="35" spans="1:10" x14ac:dyDescent="0.25">
      <c r="A35" t="s">
        <v>20</v>
      </c>
      <c r="B35" t="s">
        <v>24</v>
      </c>
      <c r="C35" t="s">
        <v>68</v>
      </c>
      <c r="E35" t="s">
        <v>20</v>
      </c>
      <c r="F35" s="25" t="s">
        <v>70</v>
      </c>
      <c r="H35" s="27"/>
      <c r="I35" s="25"/>
      <c r="J35" s="25"/>
    </row>
    <row r="36" spans="1:10" x14ac:dyDescent="0.25">
      <c r="A36" t="str">
        <f>C2</f>
        <v>Products</v>
      </c>
      <c r="B36" s="6">
        <f>N2</f>
        <v>1228</v>
      </c>
      <c r="C36" s="6">
        <f>N9</f>
        <v>994.85</v>
      </c>
      <c r="E36" s="27" t="s">
        <v>28</v>
      </c>
      <c r="F36" s="25">
        <f>SUMIF(Table3[Category],"Products",Table3[Qty])</f>
        <v>13</v>
      </c>
      <c r="G36" s="25"/>
      <c r="H36" s="27"/>
      <c r="J36" s="25"/>
    </row>
    <row r="37" spans="1:10" x14ac:dyDescent="0.25">
      <c r="A37" t="str">
        <f>C15</f>
        <v>Let's Talk</v>
      </c>
      <c r="B37" s="6">
        <f>N3</f>
        <v>310.89999999999998</v>
      </c>
      <c r="C37" s="6">
        <f>N10</f>
        <v>310.89999999999998</v>
      </c>
      <c r="E37" t="s">
        <v>29</v>
      </c>
      <c r="F37" s="27">
        <f>SUMIF(Table3[Category],"Let's Talk",Table3[Qty])</f>
        <v>6</v>
      </c>
    </row>
    <row r="38" spans="1:10" x14ac:dyDescent="0.25">
      <c r="A38" t="str">
        <f>C21</f>
        <v>Free Items</v>
      </c>
      <c r="B38" s="6">
        <f>N4</f>
        <v>0</v>
      </c>
      <c r="C38" s="6">
        <f>N11</f>
        <v>0</v>
      </c>
      <c r="E38" t="s">
        <v>30</v>
      </c>
      <c r="F38" s="25">
        <f>SUMIF(Table3[Category],"Free Items",Table3[Qty])</f>
        <v>4</v>
      </c>
    </row>
    <row r="39" spans="1:10" x14ac:dyDescent="0.25">
      <c r="A39" t="str">
        <f>C25</f>
        <v>Charges</v>
      </c>
      <c r="B39" s="6">
        <f>N5</f>
        <v>15.5</v>
      </c>
      <c r="C39" s="6">
        <f>N12</f>
        <v>15.5</v>
      </c>
      <c r="E39" t="s">
        <v>31</v>
      </c>
      <c r="F39" s="25">
        <f>SUMIF(Table3[Category],"Charges",Table3[Qty])</f>
        <v>1</v>
      </c>
    </row>
    <row r="41" spans="1:10" x14ac:dyDescent="0.25">
      <c r="D41" s="6"/>
      <c r="F41" s="27"/>
      <c r="G41" s="25"/>
      <c r="H41" s="27"/>
      <c r="J41" s="25"/>
    </row>
    <row r="42" spans="1:10" x14ac:dyDescent="0.25">
      <c r="F42" s="27"/>
      <c r="G42" s="25"/>
      <c r="H42" s="27"/>
      <c r="J42" s="25"/>
    </row>
    <row r="43" spans="1:10" x14ac:dyDescent="0.25">
      <c r="F43" s="27"/>
      <c r="G43" s="25"/>
      <c r="H43" s="27"/>
      <c r="J43" s="25"/>
    </row>
  </sheetData>
  <pageMargins left="0.7" right="0.7" top="0.75" bottom="0.75" header="0.3" footer="0.3"/>
  <pageSetup scale="30" orientation="portrait" r:id="rId1"/>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1A89B-A3B4-4CE7-93CC-BAE8BB687D37}">
  <dimension ref="A1:E2"/>
  <sheetViews>
    <sheetView tabSelected="1" view="pageBreakPreview" zoomScale="60" zoomScaleNormal="69" workbookViewId="0">
      <selection activeCell="E3" sqref="E3"/>
    </sheetView>
  </sheetViews>
  <sheetFormatPr defaultRowHeight="15.75" x14ac:dyDescent="0.25"/>
  <cols>
    <col min="3" max="3" width="6.375" customWidth="1"/>
    <col min="4" max="4" width="14.625" customWidth="1"/>
  </cols>
  <sheetData>
    <row r="1" spans="1:5" ht="37.5" x14ac:dyDescent="0.75">
      <c r="A1" s="17" t="s">
        <v>73</v>
      </c>
      <c r="B1" s="16"/>
      <c r="C1" s="16"/>
      <c r="D1" s="16"/>
      <c r="E1" s="16"/>
    </row>
    <row r="2" spans="1:5" ht="18" x14ac:dyDescent="0.4">
      <c r="A2" s="18" t="s">
        <v>63</v>
      </c>
    </row>
  </sheetData>
  <pageMargins left="0.7" right="0.7" top="0.75" bottom="0.75" header="0.3" footer="0.3"/>
  <pageSetup orientation="portrait" r:id="rId1"/>
  <drawing r:id="rId2"/>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vt:lpstr>
      <vt:lpstr>Clean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Raadhiyah Mayanja</dc:creator>
  <cp:lastModifiedBy>Raadhiyah Mayanja</cp:lastModifiedBy>
  <dcterms:created xsi:type="dcterms:W3CDTF">2026-09-03T10:14:48Z</dcterms:created>
  <dcterms:modified xsi:type="dcterms:W3CDTF">2026-09-03T16:56:14Z</dcterms:modified>
</cp:coreProperties>
</file>